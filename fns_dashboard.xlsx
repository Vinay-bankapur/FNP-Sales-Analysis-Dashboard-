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46af6223bc2ffa6f/Desktop/"/>
    </mc:Choice>
  </mc:AlternateContent>
  <xr:revisionPtr revIDLastSave="0" documentId="8_{667D2CDB-832A-4672-966D-3CA0513E2B6D}" xr6:coauthVersionLast="47" xr6:coauthVersionMax="47" xr10:uidLastSave="{00000000-0000-0000-0000-000000000000}"/>
  <bookViews>
    <workbookView xWindow="-108" yWindow="-108" windowWidth="23256" windowHeight="12456" firstSheet="1" activeTab="5" xr2:uid="{6C7C6DDB-DB0B-4037-AD52-2C2B9632E48D}"/>
  </bookViews>
  <sheets>
    <sheet name="pro1"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'pro1'!$A$1:$F$4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854" r:id="rId7"/>
    <pivotCache cacheId="857" r:id="rId8"/>
    <pivotCache cacheId="860" r:id="rId9"/>
    <pivotCache cacheId="863" r:id="rId10"/>
    <pivotCache cacheId="866" r:id="rId11"/>
    <pivotCache cacheId="869" r:id="rId12"/>
    <pivotCache cacheId="872"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1_23152a76-021f-4ae3-9601-d97f28aab524" name="pro1" connection="Query - pro1"/>
          <x15:modelTable id="Customers_26e68bae-7b33-4a43-b7a5-d2f3f0af5a59" name="Customers" connection="Query - Customers"/>
          <x15:modelTable id="Orders_e95376e5-2457-4c35-b73d-7a94b0cb313d" name="Orders" connection="Query - Orders"/>
          <x15:modelTable id="Products_16fca1fc-9522-4519-a6cc-3028cf58f34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9C7FF2-D3C3-4C21-9EF4-75CC8691DA1D}" keepAlive="1" name="ModelConnection_ExternalData_1" description="Data Model" type="5" refreshedVersion="8" minRefreshableVersion="5" saveData="1">
    <dbPr connection="Data Model Connection" command="pro1" commandType="3"/>
    <extLst>
      <ext xmlns:x15="http://schemas.microsoft.com/office/spreadsheetml/2010/11/main" uri="{DE250136-89BD-433C-8126-D09CA5730AF9}">
        <x15:connection id="" model="1"/>
      </ext>
    </extLst>
  </connection>
  <connection id="2" xr16:uid="{A69211EF-FFB8-4502-B8E4-87208F6039A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DA8B52FF-9FD4-4287-B45E-D8C150B306D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048411F-A42E-4B9A-8F80-0FFF2E81DF2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34CBB2D-87CB-4E6F-BAF3-A54DC2EE4BB9}" name="Query - Customers" description="Connection to the 'Customers' query in the workbook." type="100" refreshedVersion="8" minRefreshableVersion="5">
    <extLst>
      <ext xmlns:x15="http://schemas.microsoft.com/office/spreadsheetml/2010/11/main" uri="{DE250136-89BD-433C-8126-D09CA5730AF9}">
        <x15:connection id="0c5eb7b8-99f4-4b36-b9c2-817a4f1a4ccf"/>
      </ext>
    </extLst>
  </connection>
  <connection id="6" xr16:uid="{60F4C1C5-934D-4DA5-B801-794F6EABB977}" name="Query - Orders" description="Connection to the 'Orders' query in the workbook." type="100" refreshedVersion="8" minRefreshableVersion="5">
    <extLst>
      <ext xmlns:x15="http://schemas.microsoft.com/office/spreadsheetml/2010/11/main" uri="{DE250136-89BD-433C-8126-D09CA5730AF9}">
        <x15:connection id="99ce077a-b974-4679-8442-aaf8d774ef8c"/>
      </ext>
    </extLst>
  </connection>
  <connection id="7" xr16:uid="{F584AFC7-25F1-4922-B570-77B6449B2A98}" name="Query - pro1" description="Connection to the 'pro1' query in the workbook." type="100" refreshedVersion="8" minRefreshableVersion="5">
    <extLst>
      <ext xmlns:x15="http://schemas.microsoft.com/office/spreadsheetml/2010/11/main" uri="{DE250136-89BD-433C-8126-D09CA5730AF9}">
        <x15:connection id="752ded3e-4a3e-48a7-b148-9415c0d1d002"/>
      </ext>
    </extLst>
  </connection>
  <connection id="8" xr16:uid="{FDCE0566-85B9-4C5C-8785-2D360F6D5AF9}" name="Query - Products" description="Connection to the 'Products' query in the workbook." type="100" refreshedVersion="8" minRefreshableVersion="5">
    <extLst>
      <ext xmlns:x15="http://schemas.microsoft.com/office/spreadsheetml/2010/11/main" uri="{DE250136-89BD-433C-8126-D09CA5730AF9}">
        <x15:connection id="23ff3adf-4bc5-428e-ad44-d6c1e8d127f3"/>
      </ext>
    </extLst>
  </connection>
  <connection id="9" xr16:uid="{394DDAB2-C6B4-4D18-8569-F0F36658BE1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<sst xmlns="http://schemas.openxmlformats.org/spreadsheetml/2006/main" count="5994" uniqueCount="947">
  <si>
    <t>Name</t>
  </si>
  <si>
    <t>Extension</t>
  </si>
  <si>
    <t>Date accessed</t>
  </si>
  <si>
    <t>Date modified</t>
  </si>
  <si>
    <t>Date created</t>
  </si>
  <si>
    <t>Folder Path</t>
  </si>
  <si>
    <t>customers.csv</t>
  </si>
  <si>
    <t>.csv</t>
  </si>
  <si>
    <t>C:\Users\v4992\OneDrive\Desktop\pro1\</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</si>
  <si>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</si>
  <si>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</si>
  <si>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</si>
  <si>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</si>
  <si>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</si>
  <si>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</si>
  <si>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</si>
  <si>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</si>
  <si>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</si>
  <si>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</si>
  <si>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</si>
  <si>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</si>
  <si>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</si>
  <si>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</si>
  <si>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</si>
  <si>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</si>
  <si>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</si>
  <si>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</si>
  <si>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</si>
  <si>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</si>
  <si>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</si>
  <si>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</si>
  <si>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</si>
  <si>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</si>
  <si>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</si>
  <si>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</si>
  <si>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</si>
  <si>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</si>
  <si>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</si>
  <si>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</si>
  <si>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</si>
  <si>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</si>
  <si>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</si>
  <si>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</si>
  <si>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</si>
  <si>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</si>
  <si>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</si>
  <si>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</si>
  <si>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</si>
  <si>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</si>
  <si>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</si>
  <si>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</si>
  <si>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</si>
  <si>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</si>
  <si>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</si>
  <si>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</si>
  <si>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</si>
  <si>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</si>
  <si>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</si>
  <si>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</si>
  <si>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</si>
  <si>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</si>
  <si>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</si>
  <si>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</si>
  <si>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</si>
  <si>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</si>
  <si>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</si>
  <si>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</si>
  <si>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</si>
  <si>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</si>
  <si>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</si>
  <si>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</si>
  <si>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</si>
  <si>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</si>
  <si>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</si>
  <si>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</si>
  <si>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</si>
  <si>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</si>
  <si>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</si>
  <si>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</si>
  <si>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</si>
  <si>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</si>
  <si>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</si>
  <si>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</si>
  <si>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</si>
  <si>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</si>
  <si>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</si>
  <si>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</si>
  <si>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</si>
  <si>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</si>
  <si>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</si>
  <si>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</si>
  <si>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</si>
  <si>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</si>
  <si>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</si>
  <si>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</si>
  <si>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</si>
  <si>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</si>
  <si>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</si>
  <si>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</si>
  <si>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</si>
  <si>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</si>
  <si>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</si>
  <si>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</si>
  <si>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</si>
  <si>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</si>
  <si>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</si>
  <si>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</si>
  <si>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</si>
  <si>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</si>
  <si>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</si>
  <si>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</si>
  <si>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</si>
  <si>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</si>
  <si>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</si>
  <si>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</si>
  <si>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</si>
  <si>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</si>
  <si>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</si>
  <si>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</si>
  <si>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</si>
  <si>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</si>
  <si>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</si>
  <si>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</si>
  <si>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</si>
  <si>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</si>
  <si>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</si>
  <si>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</si>
  <si>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</si>
  <si>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</si>
  <si>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</si>
  <si>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</si>
  <si>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</si>
  <si>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</si>
  <si>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</si>
  <si>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</si>
  <si>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</si>
  <si>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</si>
  <si>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</si>
  <si>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</si>
  <si>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</si>
  <si>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</si>
  <si>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</si>
  <si>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</si>
  <si>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</si>
  <si>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</si>
  <si>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</si>
  <si>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</si>
  <si>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</si>
  <si>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</si>
  <si>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</si>
  <si>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</si>
  <si>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</si>
  <si>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</si>
  <si>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</si>
  <si>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</si>
  <si>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</si>
  <si>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</si>
  <si>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</si>
  <si>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</si>
  <si>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</si>
  <si>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</si>
  <si>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</si>
  <si>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</si>
  <si>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</si>
  <si>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</si>
  <si>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</si>
  <si>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</si>
  <si>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</si>
  <si>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</si>
  <si>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</si>
  <si>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</si>
  <si>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</si>
  <si>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</si>
  <si>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</si>
  <si>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</si>
  <si>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</si>
  <si>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</si>
  <si>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</si>
  <si>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</si>
  <si>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</si>
  <si>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</si>
  <si>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</si>
  <si>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</si>
  <si>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</si>
  <si>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</si>
  <si>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</si>
  <si>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</si>
  <si>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</si>
  <si>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</si>
  <si>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</si>
  <si>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</si>
  <si>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</si>
  <si>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</si>
  <si>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</si>
  <si>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</si>
  <si>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</si>
  <si>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</si>
  <si>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</si>
  <si>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</si>
  <si>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</si>
  <si>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</si>
  <si>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</si>
  <si>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</si>
  <si>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</si>
  <si>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</si>
  <si>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</si>
  <si>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</si>
  <si>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</si>
  <si>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</si>
  <si>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</si>
  <si>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</si>
  <si>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</si>
  <si>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</si>
  <si>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</si>
  <si>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</si>
  <si>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</si>
  <si>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</si>
  <si>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</si>
  <si>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</si>
  <si>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</si>
  <si>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</si>
  <si>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</si>
  <si>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</si>
  <si>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</si>
  <si>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</si>
  <si>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</si>
  <si>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</si>
  <si>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</si>
  <si>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</si>
  <si>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</si>
  <si>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</si>
  <si>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</si>
  <si>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</si>
  <si>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</si>
  <si>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</si>
  <si>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</si>
  <si>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</si>
  <si>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</si>
  <si>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</si>
  <si>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</si>
  <si>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</si>
  <si>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</si>
  <si>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</si>
  <si>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</si>
  <si>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</si>
  <si>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</si>
  <si>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</si>
  <si>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</si>
  <si>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</si>
  <si>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</si>
  <si>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</si>
  <si>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</si>
  <si>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</si>
  <si>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</si>
  <si>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</si>
  <si>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</si>
  <si>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</si>
  <si>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</si>
  <si>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</si>
  <si>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</si>
  <si>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</si>
  <si>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</si>
  <si>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</si>
  <si>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</si>
  <si>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</si>
  <si>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</si>
  <si>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</si>
  <si>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</si>
  <si>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</si>
  <si>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</si>
  <si>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</si>
  <si>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</si>
  <si>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</si>
  <si>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</si>
  <si>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</si>
  <si>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</si>
  <si>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</si>
  <si>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</si>
  <si>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</si>
  <si>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</si>
  <si>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</si>
  <si>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</si>
  <si>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</si>
  <si>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</si>
  <si>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</si>
  <si>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</si>
  <si>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</si>
  <si>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</si>
  <si>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</si>
  <si>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</si>
  <si>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</si>
  <si>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</si>
  <si>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</si>
  <si>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</si>
  <si>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</si>
  <si>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</si>
  <si>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</si>
  <si>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</si>
  <si>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</si>
  <si>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</si>
  <si>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</si>
  <si>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</si>
  <si>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</si>
  <si>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</si>
  <si>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</si>
  <si>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</si>
  <si>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</si>
  <si>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</si>
  <si>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</si>
  <si>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</si>
  <si>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</si>
  <si>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</si>
  <si>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</si>
  <si>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</si>
  <si>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</si>
  <si>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</si>
  <si>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</si>
  <si>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</si>
  <si>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</si>
  <si>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</si>
  <si>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</si>
  <si>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</si>
  <si>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</si>
  <si>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</si>
  <si>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</si>
  <si>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</si>
  <si>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</si>
  <si>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</si>
  <si>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</si>
  <si>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</si>
  <si>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</si>
  <si>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</si>
  <si>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</si>
  <si>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</si>
  <si>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</si>
  <si>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</si>
  <si>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</si>
  <si>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</si>
  <si>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</si>
  <si>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</si>
  <si>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</si>
  <si>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</si>
  <si>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</si>
  <si>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</si>
  <si>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</si>
  <si>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</si>
  <si>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</si>
  <si>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</si>
  <si>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</si>
  <si>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</si>
  <si>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</si>
  <si>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</si>
  <si>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</si>
  <si>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</si>
  <si>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</si>
  <si>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</si>
  <si>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</si>
  <si>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</si>
  <si>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</si>
  <si>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</si>
  <si>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</si>
  <si>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</si>
  <si>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</si>
  <si>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</si>
  <si>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</si>
  <si>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</si>
  <si>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</si>
  <si>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</si>
  <si>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</si>
  <si>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</si>
  <si>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</si>
  <si>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</si>
  <si>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</si>
  <si>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</si>
  <si>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</si>
  <si>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</si>
  <si>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</si>
  <si>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</si>
  <si>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</si>
  <si>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</si>
  <si>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</si>
  <si>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</si>
  <si>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</si>
  <si>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</si>
  <si>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</si>
  <si>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</si>
  <si>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</si>
  <si>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</si>
  <si>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</si>
  <si>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</si>
  <si>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</si>
  <si>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</si>
  <si>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</si>
  <si>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</si>
  <si>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</si>
  <si>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</si>
  <si>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</si>
  <si>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</si>
  <si>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</si>
  <si>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</si>
  <si>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</si>
  <si>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</si>
  <si>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</si>
  <si>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</si>
  <si>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</si>
  <si>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</si>
  <si>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</si>
  <si>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</si>
  <si>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</si>
  <si>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</si>
  <si>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</si>
  <si>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</si>
  <si>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</si>
  <si>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</si>
  <si>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</si>
  <si>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</si>
  <si>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</si>
  <si>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</si>
  <si>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</si>
  <si>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</si>
  <si>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</si>
  <si>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</si>
  <si>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</si>
  <si>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</si>
  <si>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</si>
  <si>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</si>
  <si>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</si>
  <si>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</si>
  <si>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</si>
  <si>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</si>
  <si>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</si>
  <si>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</si>
  <si>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</si>
  <si>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</si>
  <si>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</si>
  <si>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</si>
  <si>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</si>
  <si>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</si>
  <si>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</si>
  <si>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</si>
  <si>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</si>
  <si>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</si>
  <si>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</si>
  <si>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</si>
  <si>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</si>
  <si>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</si>
  <si>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</si>
  <si>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</si>
  <si>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</si>
  <si>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</si>
  <si>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</si>
  <si>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</si>
  <si>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</si>
  <si>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</si>
  <si>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</si>
  <si>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</si>
  <si>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</si>
  <si>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</si>
  <si>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</si>
  <si>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</si>
  <si>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</si>
  <si>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</si>
  <si>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</si>
  <si>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</si>
  <si>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</si>
  <si>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</si>
  <si>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</si>
  <si>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</si>
  <si>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</si>
  <si>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</si>
  <si>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</si>
  <si>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</si>
  <si>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</si>
  <si>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</si>
  <si>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</si>
  <si>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</si>
  <si>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</si>
  <si>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</si>
  <si>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</si>
  <si>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</si>
  <si>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</si>
  <si>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</si>
  <si>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</si>
  <si>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</si>
  <si>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</si>
  <si>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</si>
  <si>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</si>
  <si>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</si>
  <si>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</si>
  <si>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</si>
  <si>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</si>
  <si>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</si>
  <si>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</si>
  <si>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</si>
  <si>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</si>
  <si>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</si>
  <si>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</si>
  <si>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</si>
  <si>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</si>
  <si>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</si>
  <si>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</si>
  <si>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</si>
  <si>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</si>
  <si>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</si>
  <si>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</si>
  <si>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</si>
  <si>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</si>
  <si>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</si>
  <si>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</si>
  <si>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</si>
  <si>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</si>
  <si>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</si>
  <si>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</si>
  <si>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</si>
  <si>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</si>
  <si>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</si>
  <si>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</si>
  <si>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</si>
  <si>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</si>
  <si>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</si>
  <si>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</si>
  <si>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</si>
  <si>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</si>
  <si>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</si>
  <si>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</si>
  <si>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</si>
  <si>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</si>
  <si>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</si>
  <si>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</si>
  <si>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</si>
  <si>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</si>
  <si>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</si>
  <si>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</si>
  <si>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</si>
  <si>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</si>
  <si>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</si>
  <si>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</si>
  <si>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</si>
  <si>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</si>
  <si>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</si>
  <si>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</si>
  <si>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</si>
  <si>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</si>
  <si>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</si>
  <si>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</si>
  <si>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</si>
  <si>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</si>
  <si>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</si>
  <si>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</si>
  <si>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</si>
  <si>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</si>
  <si>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</si>
  <si>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</si>
  <si>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</si>
  <si>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</si>
  <si>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</si>
  <si>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</si>
  <si>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</si>
  <si>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</si>
  <si>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</si>
  <si>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</si>
  <si>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</si>
  <si>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</si>
  <si>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</si>
  <si>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</si>
  <si>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</si>
  <si>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</si>
  <si>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</si>
  <si>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</si>
  <si>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</si>
  <si>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</si>
  <si>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</si>
  <si>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</si>
  <si>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</si>
  <si>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</si>
  <si>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</si>
  <si>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</si>
  <si>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</si>
  <si>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</si>
  <si>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</si>
  <si>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</si>
  <si>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</si>
  <si>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</si>
  <si>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</si>
  <si>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</si>
  <si>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</si>
  <si>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</si>
  <si>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</si>
  <si>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</si>
  <si>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</si>
  <si>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</si>
  <si>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</si>
  <si>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</si>
  <si>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</si>
  <si>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</si>
  <si>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</si>
  <si>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</si>
  <si>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</si>
  <si>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</si>
  <si>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</si>
  <si>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</si>
  <si>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</si>
  <si>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</si>
  <si>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</si>
  <si>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</si>
  <si>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</si>
  <si>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</si>
  <si>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</si>
  <si>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</si>
  <si>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</si>
  <si>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</si>
  <si>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</si>
  <si>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</si>
  <si>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</si>
  <si>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</si>
  <si>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</si>
  <si>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</si>
  <si>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</si>
  <si>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</si>
  <si>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</si>
  <si>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</si>
  <si>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</si>
  <si>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</si>
  <si>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</si>
  <si>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</si>
  <si>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</si>
  <si>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</si>
  <si>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</si>
  <si>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</si>
  <si>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</si>
  <si>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</si>
  <si>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</si>
  <si>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</si>
  <si>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</si>
  <si>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</si>
  <si>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</si>
  <si>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</si>
  <si>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</si>
  <si>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</si>
  <si>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</si>
  <si>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</si>
  <si>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</si>
  <si>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</si>
  <si>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</si>
  <si>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</si>
  <si>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</si>
  <si>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</si>
  <si>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</si>
  <si>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</si>
  <si>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</si>
  <si>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</si>
  <si>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</si>
  <si>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</si>
  <si>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</si>
  <si>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</si>
  <si>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</si>
  <si>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</si>
  <si>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</si>
  <si>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</si>
  <si>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</si>
  <si>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</si>
  <si>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</si>
  <si>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</si>
  <si>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</si>
  <si>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</si>
  <si>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</si>
  <si>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</si>
  <si>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</si>
  <si>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</si>
  <si>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</si>
  <si>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</si>
  <si>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</si>
  <si>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</si>
  <si>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</si>
  <si>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</si>
  <si>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</si>
  <si>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</si>
  <si>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</si>
  <si>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</si>
  <si>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</si>
  <si>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</si>
  <si>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</si>
  <si>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</si>
  <si>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</si>
  <si>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</si>
  <si>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</si>
  <si>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</si>
  <si>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</si>
  <si>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</si>
  <si>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</si>
  <si>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</si>
  <si>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</si>
  <si>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</si>
  <si>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</si>
  <si>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</si>
  <si>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</si>
  <si>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</si>
  <si>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</si>
  <si>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</si>
  <si>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</si>
  <si>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</si>
  <si>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</si>
  <si>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</si>
  <si>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</si>
  <si>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</si>
  <si>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</si>
  <si>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</si>
  <si>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</si>
  <si>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</si>
  <si>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</si>
  <si>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</si>
  <si>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</si>
  <si>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</si>
  <si>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</si>
  <si>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</si>
  <si>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</si>
  <si>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</si>
  <si>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</si>
  <si>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</si>
  <si>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</si>
  <si>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</si>
  <si>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</si>
  <si>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</si>
  <si>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</si>
  <si>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</si>
  <si>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</si>
  <si>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</si>
  <si>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</si>
  <si>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</si>
  <si>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</si>
  <si>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</si>
  <si>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</si>
  <si>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</si>
  <si>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</si>
  <si>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</si>
  <si>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</si>
  <si>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</si>
  <si>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</si>
  <si>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</si>
  <si>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</si>
  <si>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</si>
  <si>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</si>
  <si>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</si>
  <si>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</si>
  <si>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</si>
  <si>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</si>
  <si>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</si>
  <si>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</si>
  <si>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</si>
  <si>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</si>
  <si>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</si>
  <si>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</si>
  <si>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</si>
  <si>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</si>
  <si>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</si>
  <si>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</si>
  <si>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</si>
  <si>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</si>
  <si>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</si>
  <si>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</si>
  <si>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</si>
  <si>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</si>
  <si>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</si>
  <si>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</si>
  <si>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</si>
  <si>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</si>
  <si>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</si>
  <si>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</si>
  <si>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</si>
  <si>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</si>
  <si>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</si>
  <si>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</si>
  <si>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</si>
  <si>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</si>
  <si>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</si>
  <si>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</si>
  <si>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</si>
  <si>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</si>
  <si>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</si>
  <si>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</si>
  <si>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</si>
  <si>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</si>
  <si>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</si>
  <si>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</si>
  <si>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</si>
  <si>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</si>
  <si>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</si>
  <si>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</si>
  <si>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</si>
  <si>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</si>
  <si>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</si>
  <si>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</si>
  <si>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</si>
  <si>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</si>
  <si>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</si>
  <si>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</si>
  <si>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</si>
  <si>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</si>
  <si>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</si>
  <si>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</si>
  <si>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</si>
  <si>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</si>
  <si>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</si>
  <si>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</si>
  <si>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</si>
  <si>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</si>
  <si>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</si>
  <si>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</si>
  <si>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</si>
  <si>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</si>
  <si>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</si>
  <si>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</si>
  <si>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</si>
  <si>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</si>
  <si>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</si>
  <si>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</si>
  <si>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</si>
  <si>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</si>
  <si>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</si>
  <si>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</si>
  <si>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</si>
  <si>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</si>
  <si>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</si>
  <si>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</si>
  <si>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</si>
  <si>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</si>
  <si>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</si>
  <si>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</si>
  <si>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</si>
  <si>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</si>
  <si>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</si>
  <si>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</si>
  <si>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</si>
  <si>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</si>
  <si>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</si>
  <si>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</si>
  <si>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</si>
  <si>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</si>
  <si>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</si>
  <si>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</si>
  <si>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</si>
  <si>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</si>
  <si>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</si>
  <si>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</si>
  <si>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</si>
  <si>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</si>
  <si>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</si>
  <si>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</si>
  <si>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</si>
  <si>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</si>
  <si>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</si>
  <si>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</si>
  <si>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</si>
  <si>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</si>
  <si>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</si>
  <si>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</si>
  <si>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</si>
  <si>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</si>
  <si>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</si>
  <si>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</si>
  <si>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</si>
  <si>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</si>
  <si>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</si>
  <si>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</si>
  <si>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</si>
  <si>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</si>
  <si>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</si>
  <si>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</si>
  <si>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</si>
  <si>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</si>
  <si>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</si>
  <si>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</si>
  <si>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</si>
  <si>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</si>
  <si>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</si>
  <si>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</si>
  <si>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</si>
  <si>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</si>
  <si>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</si>
  <si>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</si>
  <si>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</si>
  <si>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</si>
  <si>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</si>
  <si>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</si>
  <si>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</si>
  <si>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</si>
  <si>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</si>
  <si>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</si>
  <si>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</si>
  <si>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</si>
  <si>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</si>
  <si>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</si>
  <si>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</si>
  <si>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</si>
  <si>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</si>
  <si>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</si>
  <si>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</si>
  <si>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</si>
  <si>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</si>
  <si>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</si>
  <si>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</si>
  <si>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</si>
  <si>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</si>
  <si>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</si>
  <si>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</si>
  <si>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</si>
  <si>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</si>
  <si>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</si>
  <si>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</si>
  <si>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</si>
  <si>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</si>
  <si>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</si>
  <si>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</si>
  <si>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</si>
  <si>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</si>
  <si>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</si>
  <si>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</si>
  <si>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</si>
  <si>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</si>
  <si>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</si>
  <si>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</si>
  <si>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</si>
  <si>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</si>
  <si>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</si>
  <si>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</si>
  <si>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</si>
  <si>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</si>
  <si>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</si>
  <si>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</si>
  <si>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</si>
  <si>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</si>
  <si>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</si>
  <si>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</si>
  <si>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</si>
  <si>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</si>
  <si>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</si>
  <si>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</si>
  <si>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</si>
  <si>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</si>
  <si>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</si>
  <si>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</si>
  <si>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</si>
  <si>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 date)</t>
  </si>
  <si>
    <t>Sum of Revenue</t>
  </si>
  <si>
    <t>Average of diff_order_delivery</t>
  </si>
  <si>
    <t>Average of Revenue2</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</si>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</sst>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[fns_dashboard.xlsx]Sheet1!PivotTable7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Sheet1!$E$27</c:f>
              <c:strCache>
                <c:ptCount val="1"/>
                <c:pt idx="0">
                  <c:v>Total</c:v>
                </c:pt>
              </c:strCache>
            </c:strRef>
          </c:tx>
          <c:spPr>
            <a:solidFill>
              <a:schemeClr val="accent1"/>
            </a:solidFill>
            <a:ln>
              <a:noFill/>
            </a:ln>
            <a:effectLst/>
          </c:spPr>
          <c:invertIfNegative val="0"/>
          <c:cat>
            <c:strRef>
              <c:f>Sheet1!$D$28:$D$31</c:f>
              <c:strCache>
                <c:ptCount val="3"/>
                <c:pt idx="0">
                  <c:v>All Occasions</c:v>
                </c:pt>
                <c:pt idx="1">
                  <c:v>Anniversary</c:v>
                </c:pt>
                <c:pt idx="2">
                  <c:v>Birthday</c:v>
                </c:pt>
              </c:strCache>
            </c:strRef>
          </c:cat>
          <c:val>
            <c:numRef>
              <c:f>Sheet1!$E$28:$E$31</c:f>
              <c:numCache>
                <c:formatCode>"₹"\ #,##0.00;#,##0.00\ \-"₹";"₹"\ #,##0.00</c:formatCode>
                <c:ptCount val="3"/>
                <c:pt idx="0">
                  <c:v>36664</c:v>
                </c:pt>
                <c:pt idx="1">
                  <c:v>51084</c:v>
                </c:pt>
                <c:pt idx="2">
                  <c:v>42240</c:v>
                </c:pt>
              </c:numCache>
            </c:numRef>
          </c:val>
          <c:extLst>
            <c:ext xmlns:c16="http://schemas.microsoft.com/office/drawing/2014/chart" uri="{C3380CC4-5D6E-409C-BE32-E72D297353CC}">
              <c16:uniqueId val="{00000000-90F1-47DF-B40D-C8D7E6B042A4}"/>
            </c:ext>
          </c:extLst>
        </c:ser>
        <c:dLbls>
          <c:showLegendKey val="0"/>
          <c:showVal val="0"/>
          <c:showCatName val="0"/>
          <c:showSerName val="0"/>
          <c:showPercent val="0"/>
          <c:showBubbleSize val="0"/>
        </c:dLbls>
        <c:gapWidth val="219"/>
        <c:overlap val="-27"/>
        <c:axId val="970648608"/>
        <c:axId val="970647168"/>
      </c:barChart>
      <c:catAx>
        <c:axId val="97064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47168"/>
        <c:crosses val="autoZero"/>
        <c:auto val="1"/>
        <c:lblAlgn val="ctr"/>
        <c:lblOffset val="100"/>
        <c:noMultiLvlLbl val="0"/>
      </c:catAx>
      <c:valAx>
        <c:axId val="970647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4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[fns_dashboard.xlsx]Sheet1!PivotTable5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Sheet1!$E$16</c:f>
              <c:strCache>
                <c:ptCount val="1"/>
                <c:pt idx="0">
                  <c:v>Total</c:v>
                </c:pt>
              </c:strCache>
            </c:strRef>
          </c:tx>
          <c:spPr>
            <a:solidFill>
              <a:schemeClr val="accent1"/>
            </a:solidFill>
            <a:ln>
              <a:noFill/>
            </a:ln>
            <a:effectLst/>
          </c:spPr>
          <c:invertIfNegative val="0"/>
          <c:cat>
            <c:strRef>
              <c:f>Sheet1!$D$17:$D$20</c:f>
              <c:strCache>
                <c:ptCount val="3"/>
                <c:pt idx="0">
                  <c:v>Colors</c:v>
                </c:pt>
                <c:pt idx="1">
                  <c:v>Raksha Bandhan</c:v>
                </c:pt>
                <c:pt idx="2">
                  <c:v>Soft Toys</c:v>
                </c:pt>
              </c:strCache>
            </c:strRef>
          </c:cat>
          <c:val>
            <c:numRef>
              <c:f>Sheet1!$E$17:$E$20</c:f>
              <c:numCache>
                <c:formatCode>"₹"\ #,##0.00;#,##0.00\ \-"₹";"₹"\ #,##0.00</c:formatCode>
                <c:ptCount val="3"/>
                <c:pt idx="0">
                  <c:v>5412</c:v>
                </c:pt>
                <c:pt idx="1">
                  <c:v>9475</c:v>
                </c:pt>
                <c:pt idx="2">
                  <c:v>21777</c:v>
                </c:pt>
              </c:numCache>
            </c:numRef>
          </c:val>
          <c:extLst>
            <c:ext xmlns:c16="http://schemas.microsoft.com/office/drawing/2014/chart" uri="{C3380CC4-5D6E-409C-BE32-E72D297353CC}">
              <c16:uniqueId val="{00000000-51AC-4D5A-9729-B8DE7E59B74E}"/>
            </c:ext>
          </c:extLst>
        </c:ser>
        <c:dLbls>
          <c:showLegendKey val="0"/>
          <c:showVal val="0"/>
          <c:showCatName val="0"/>
          <c:showSerName val="0"/>
          <c:showPercent val="0"/>
          <c:showBubbleSize val="0"/>
        </c:dLbls>
        <c:gapWidth val="219"/>
        <c:overlap val="-27"/>
        <c:axId val="1022546320"/>
        <c:axId val="969002384"/>
      </c:barChart>
      <c:catAx>
        <c:axId val="102254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02384"/>
        <c:crosses val="autoZero"/>
        <c:auto val="1"/>
        <c:lblAlgn val="ctr"/>
        <c:lblOffset val="100"/>
        <c:noMultiLvlLbl val="0"/>
      </c:catAx>
      <c:valAx>
        <c:axId val="969002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4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[fns_dashboard.xlsx]Sheet1!PivotTable2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Sheet1!$B$6</c:f>
              <c:strCache>
                <c:ptCount val="1"/>
                <c:pt idx="0">
                  <c:v>Total</c:v>
                </c:pt>
              </c:strCache>
            </c:strRef>
          </c:tx>
          <c:spPr>
            <a:ln w="28575" cap="rnd">
              <a:solidFill>
                <a:schemeClr val="accent1"/>
              </a:solidFill>
              <a:round/>
            </a:ln>
            <a:effectLst/>
          </c:spPr>
          <c:marker>
            <c:symbol val="none"/>
          </c:marker>
          <c:cat>
            <c:strRef>
              <c:f>Sheet1!$A$7:$A$8</c:f>
              <c:strCache>
                <c:ptCount val="1"/>
                <c:pt idx="0">
                  <c:v>July</c:v>
                </c:pt>
              </c:strCache>
            </c:strRef>
          </c:cat>
          <c:val>
            <c:numRef>
              <c:f>Sheet1!$B$7:$B$8</c:f>
              <c:numCache>
                <c:formatCode>"₹"\ #,##0.00;#,##0.00\ \-"₹";"₹"\ #,##0.00</c:formatCode>
                <c:ptCount val="1"/>
                <c:pt idx="0">
                  <c:v>36664</c:v>
                </c:pt>
              </c:numCache>
            </c:numRef>
          </c:val>
          <c:smooth val="0"/>
          <c:extLst>
            <c:ext xmlns:c16="http://schemas.microsoft.com/office/drawing/2014/chart" uri="{C3380CC4-5D6E-409C-BE32-E72D297353CC}">
              <c16:uniqueId val="{00000000-8AEA-443F-BB4D-8C5C7E20EB47}"/>
            </c:ext>
          </c:extLst>
        </c:ser>
        <c:dLbls>
          <c:showLegendKey val="0"/>
          <c:showVal val="0"/>
          <c:showCatName val="0"/>
          <c:showSerName val="0"/>
          <c:showPercent val="0"/>
          <c:showBubbleSize val="0"/>
        </c:dLbls>
        <c:smooth val="0"/>
        <c:axId val="964339040"/>
        <c:axId val="964337120"/>
      </c:lineChart>
      <c:catAx>
        <c:axId val="9643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37120"/>
        <c:crosses val="autoZero"/>
        <c:auto val="1"/>
        <c:lblAlgn val="ctr"/>
        <c:lblOffset val="100"/>
        <c:noMultiLvlLbl val="0"/>
      </c:catAx>
      <c:valAx>
        <c:axId val="964337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33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[fns_dashboard.xlsx]Sheet1!PivotTable4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Sheet1!$E$7</c:f>
              <c:strCache>
                <c:ptCount val="1"/>
                <c:pt idx="0">
                  <c:v>Total</c:v>
                </c:pt>
              </c:strCache>
            </c:strRef>
          </c:tx>
          <c:spPr>
            <a:solidFill>
              <a:schemeClr val="accent1"/>
            </a:solidFill>
            <a:ln>
              <a:noFill/>
            </a:ln>
            <a:effectLst/>
          </c:spPr>
          <c:invertIfNegative val="0"/>
          <c:cat>
            <c:strRef>
              <c:f>Sheet1!$D$8:$D$13</c:f>
              <c:strCache>
                <c:ptCount val="5"/>
                <c:pt idx="0">
                  <c:v>Error Gift</c:v>
                </c:pt>
                <c:pt idx="1">
                  <c:v>Exercitationem Pack</c:v>
                </c:pt>
                <c:pt idx="2">
                  <c:v>Fugit Set</c:v>
                </c:pt>
                <c:pt idx="3">
                  <c:v>Magnam Set</c:v>
                </c:pt>
                <c:pt idx="4">
                  <c:v>Nihil Box</c:v>
                </c:pt>
              </c:strCache>
            </c:strRef>
          </c:cat>
          <c:val>
            <c:numRef>
              <c:f>Sheet1!$E$8:$E$13</c:f>
              <c:numCache>
                <c:formatCode>"₹"\ #,##0.00;#,##0.00\ \-"₹";"₹"\ #,##0.00</c:formatCode>
                <c:ptCount val="5"/>
                <c:pt idx="0">
                  <c:v>9475</c:v>
                </c:pt>
                <c:pt idx="1">
                  <c:v>3278</c:v>
                </c:pt>
                <c:pt idx="2">
                  <c:v>1084</c:v>
                </c:pt>
                <c:pt idx="3">
                  <c:v>17415</c:v>
                </c:pt>
                <c:pt idx="4">
                  <c:v>5412</c:v>
                </c:pt>
              </c:numCache>
            </c:numRef>
          </c:val>
          <c:extLst>
            <c:ext xmlns:c16="http://schemas.microsoft.com/office/drawing/2014/chart" uri="{C3380CC4-5D6E-409C-BE32-E72D297353CC}">
              <c16:uniqueId val="{00000000-0392-4EE0-866F-AB96A221C104}"/>
            </c:ext>
          </c:extLst>
        </c:ser>
        <c:dLbls>
          <c:showLegendKey val="0"/>
          <c:showVal val="0"/>
          <c:showCatName val="0"/>
          <c:showSerName val="0"/>
          <c:showPercent val="0"/>
          <c:showBubbleSize val="0"/>
        </c:dLbls>
        <c:gapWidth val="219"/>
        <c:overlap val="-27"/>
        <c:axId val="969001904"/>
        <c:axId val="968999504"/>
      </c:barChart>
      <c:catAx>
        <c:axId val="96900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99504"/>
        <c:crosses val="autoZero"/>
        <c:auto val="1"/>
        <c:lblAlgn val="ctr"/>
        <c:lblOffset val="100"/>
        <c:noMultiLvlLbl val="0"/>
      </c:catAx>
      <c:valAx>
        <c:axId val="968999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0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[fns_dashboard.xlsx]Sheet1!PivotTable6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Sheet1!$B$22</c:f>
              <c:strCache>
                <c:ptCount val="1"/>
                <c:pt idx="0">
                  <c:v>Total</c:v>
                </c:pt>
              </c:strCache>
            </c:strRef>
          </c:tx>
          <c:spPr>
            <a:solidFill>
              <a:schemeClr val="accent1"/>
            </a:solidFill>
            <a:ln>
              <a:noFill/>
            </a:ln>
            <a:effectLst/>
          </c:spPr>
          <c:invertIfNegative val="0"/>
          <c:cat>
            <c:strRef>
              <c:f>Sheet1!$A$23:$A$29</c:f>
              <c:strCache>
                <c:ptCount val="6"/>
                <c:pt idx="0">
                  <c:v>Aligarh</c:v>
                </c:pt>
                <c:pt idx="1">
                  <c:v>Bulandshahr</c:v>
                </c:pt>
                <c:pt idx="2">
                  <c:v>Delhi</c:v>
                </c:pt>
                <c:pt idx="3">
                  <c:v>Machilipatnam</c:v>
                </c:pt>
                <c:pt idx="4">
                  <c:v>Panchkula</c:v>
                </c:pt>
                <c:pt idx="5">
                  <c:v>Tumkur</c:v>
                </c:pt>
              </c:strCache>
            </c:strRef>
          </c:cat>
          <c:val>
            <c:numRef>
              <c:f>Sheet1!$B$23:$B$29</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569D-4BA0-B436-64BEBD24B694}"/>
            </c:ext>
          </c:extLst>
        </c:ser>
        <c:dLbls>
          <c:showLegendKey val="0"/>
          <c:showVal val="0"/>
          <c:showCatName val="0"/>
          <c:showSerName val="0"/>
          <c:showPercent val="0"/>
          <c:showBubbleSize val="0"/>
        </c:dLbls>
        <c:gapWidth val="219"/>
        <c:overlap val="-27"/>
        <c:axId val="816582128"/>
        <c:axId val="816578768"/>
      </c:barChart>
      <c:catAx>
        <c:axId val="81658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78768"/>
        <c:crosses val="autoZero"/>
        <c:auto val="1"/>
        <c:lblAlgn val="ctr"/>
        <c:lblOffset val="100"/>
        <c:noMultiLvlLbl val="0"/>
      </c:catAx>
      <c:valAx>
        <c:axId val="81657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8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[fns_dashboard.xlsx]Sheet1!PivotTable9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Sheet1!$B$35</c:f>
              <c:strCache>
                <c:ptCount val="1"/>
                <c:pt idx="0">
                  <c:v>Total</c:v>
                </c:pt>
              </c:strCache>
            </c:strRef>
          </c:tx>
          <c:spPr>
            <a:ln w="28575" cap="rnd">
              <a:solidFill>
                <a:schemeClr val="accent1"/>
              </a:solidFill>
              <a:round/>
            </a:ln>
            <a:effectLst/>
          </c:spPr>
          <c:marker>
            <c:symbol val="none"/>
          </c:marker>
          <c:cat>
            <c:strRef>
              <c:f>Sheet1!$A$36:$A$42</c:f>
              <c:strCache>
                <c:ptCount val="6"/>
                <c:pt idx="0">
                  <c:v>0</c:v>
                </c:pt>
                <c:pt idx="1">
                  <c:v>12</c:v>
                </c:pt>
                <c:pt idx="2">
                  <c:v>13</c:v>
                </c:pt>
                <c:pt idx="3">
                  <c:v>16</c:v>
                </c:pt>
                <c:pt idx="4">
                  <c:v>20</c:v>
                </c:pt>
                <c:pt idx="5">
                  <c:v>22</c:v>
                </c:pt>
              </c:strCache>
            </c:strRef>
          </c:cat>
          <c:val>
            <c:numRef>
              <c:f>Sheet1!$B$36:$B$42</c:f>
              <c:numCache>
                <c:formatCode>"₹"\ #,##0.00;#,##0.00\ \-"₹";"₹"\ #,##0.00</c:formatCode>
                <c:ptCount val="6"/>
                <c:pt idx="0">
                  <c:v>9675</c:v>
                </c:pt>
                <c:pt idx="1">
                  <c:v>5412</c:v>
                </c:pt>
                <c:pt idx="2">
                  <c:v>9475</c:v>
                </c:pt>
                <c:pt idx="3">
                  <c:v>7740</c:v>
                </c:pt>
                <c:pt idx="4">
                  <c:v>3278</c:v>
                </c:pt>
                <c:pt idx="5">
                  <c:v>1084</c:v>
                </c:pt>
              </c:numCache>
            </c:numRef>
          </c:val>
          <c:smooth val="0"/>
          <c:extLst>
            <c:ext xmlns:c16="http://schemas.microsoft.com/office/drawing/2014/chart" uri="{C3380CC4-5D6E-409C-BE32-E72D297353CC}">
              <c16:uniqueId val="{00000000-6C79-4A48-BED5-A5C900AFED2B}"/>
            </c:ext>
          </c:extLst>
        </c:ser>
        <c:dLbls>
          <c:showLegendKey val="0"/>
          <c:showVal val="0"/>
          <c:showCatName val="0"/>
          <c:showSerName val="0"/>
          <c:showPercent val="0"/>
          <c:showBubbleSize val="0"/>
        </c:dLbls>
        <c:smooth val="0"/>
        <c:axId val="605680207"/>
        <c:axId val="605688847"/>
      </c:lineChart>
      <c:catAx>
        <c:axId val="60568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88847"/>
        <c:crosses val="autoZero"/>
        <c:auto val="1"/>
        <c:lblAlgn val="ctr"/>
        <c:lblOffset val="100"/>
        <c:tickLblSkip val="2"/>
        <c:noMultiLvlLbl val="0"/>
      </c:catAx>
      <c:valAx>
        <c:axId val="605688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8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6</xdr:row>
      <xdr:rowOff>7620</xdr:rowOff>
    </xdr:from>
    <xdr:to>
      <xdr:col>7</xdr:col>
      <xdr:colOff>419100</xdr:colOff>
      <xdr:row>21</xdr:row>
      <xdr:rowOff>7620</xdr:rowOff>
    </xdr:to>
    <xdr:graphicFrame macro="">
      <xdr:nvGraphicFramePr>
        <xdr:cNvPr id="2" name="Chart 1">
          <a:extLst>
            <a:ext uri="{FF2B5EF4-FFF2-40B4-BE49-F238E27FC236}">
              <a16:creationId xmlns:a16="http://schemas.microsoft.com/office/drawing/2014/main" id="{55587F1F-3F5F-45E3-90D8-6115195FE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480060</xdr:colOff>
      <xdr:row>6</xdr:row>
      <xdr:rowOff>15240</xdr:rowOff>
    </xdr:from>
    <xdr:to>
      <xdr:col>15</xdr:col>
      <xdr:colOff>175260</xdr:colOff>
      <xdr:row>21</xdr:row>
      <xdr:rowOff>15240</xdr:rowOff>
    </xdr:to>
    <xdr:graphicFrame macro="">
      <xdr:nvGraphicFramePr>
        <xdr:cNvPr id="3" name="Chart 2">
          <a:extLst>
            <a:ext uri="{FF2B5EF4-FFF2-40B4-BE49-F238E27FC236}">
              <a16:creationId xmlns:a16="http://schemas.microsoft.com/office/drawing/2014/main" id="{43B95478-C533-41BD-A282-C1C18F24D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115147</xdr:colOff>
      <xdr:row>22</xdr:row>
      <xdr:rowOff>24553</xdr:rowOff>
    </xdr:from>
    <xdr:to>
      <xdr:col>7</xdr:col>
      <xdr:colOff>419947</xdr:colOff>
      <xdr:row>37</xdr:row>
      <xdr:rowOff>24553</xdr:rowOff>
    </xdr:to>
    <xdr:graphicFrame macro="">
      <xdr:nvGraphicFramePr>
        <xdr:cNvPr id="4" name="Chart 3">
          <a:extLst>
            <a:ext uri="{FF2B5EF4-FFF2-40B4-BE49-F238E27FC236}">
              <a16:creationId xmlns:a16="http://schemas.microsoft.com/office/drawing/2014/main" id="{C06D02B6-3687-4D81-9CEA-C298C07D0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490021</xdr:colOff>
      <xdr:row>22</xdr:row>
      <xdr:rowOff>7919</xdr:rowOff>
    </xdr:from>
    <xdr:to>
      <xdr:col>15</xdr:col>
      <xdr:colOff>185221</xdr:colOff>
      <xdr:row>37</xdr:row>
      <xdr:rowOff>7918</xdr:rowOff>
    </xdr:to>
    <xdr:graphicFrame macro="">
      <xdr:nvGraphicFramePr>
        <xdr:cNvPr id="5" name="Chart 4">
          <a:extLst>
            <a:ext uri="{FF2B5EF4-FFF2-40B4-BE49-F238E27FC236}">
              <a16:creationId xmlns:a16="http://schemas.microsoft.com/office/drawing/2014/main" id="{32F66CE5-1710-4919-B413-DECC31602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228301</xdr:colOff>
      <xdr:row>22</xdr:row>
      <xdr:rowOff>10559</xdr:rowOff>
    </xdr:from>
    <xdr:to>
      <xdr:col>23</xdr:col>
      <xdr:colOff>14941</xdr:colOff>
      <xdr:row>37</xdr:row>
      <xdr:rowOff>10558</xdr:rowOff>
    </xdr:to>
    <xdr:graphicFrame macro="">
      <xdr:nvGraphicFramePr>
        <xdr:cNvPr id="6" name="Chart 5">
          <a:extLst>
            <a:ext uri="{FF2B5EF4-FFF2-40B4-BE49-F238E27FC236}">
              <a16:creationId xmlns:a16="http://schemas.microsoft.com/office/drawing/2014/main" id="{5B2AB50D-C9A2-4277-AC26-94363F41F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228600</xdr:colOff>
      <xdr:row>6</xdr:row>
      <xdr:rowOff>7620</xdr:rowOff>
    </xdr:from>
    <xdr:to>
      <xdr:col>22</xdr:col>
      <xdr:colOff>533400</xdr:colOff>
      <xdr:row>21</xdr:row>
      <xdr:rowOff>7620</xdr:rowOff>
    </xdr:to>
    <xdr:graphicFrame macro="">
      <xdr:nvGraphicFramePr>
        <xdr:cNvPr id="7" name="Chart 6">
          <a:extLst>
            <a:ext uri="{FF2B5EF4-FFF2-40B4-BE49-F238E27FC236}">
              <a16:creationId xmlns:a16="http://schemas.microsoft.com/office/drawing/2014/main" id="{1A241853-74C1-42A5-9E4E-30E5B0AF8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126153</xdr:colOff>
      <xdr:row>0</xdr:row>
      <xdr:rowOff>45720</xdr:rowOff>
    </xdr:from>
    <xdr:to>
      <xdr:col>9</xdr:col>
      <xdr:colOff>561340</xdr:colOff>
      <xdr:row>5</xdr:row>
      <xdr:rowOff>15240</xdr:rowOff>
    </xdr:to>
    <xdr:sp macro="" textlink="Sheet1!A4">
      <xdr:nvSpPr>
        <xdr:cNvPr id="8" name="Rectangle: Rounded Corners 7">
          <a:extLst>
            <a:ext uri="{FF2B5EF4-FFF2-40B4-BE49-F238E27FC236}">
              <a16:creationId xmlns:a16="http://schemas.microsoft.com/office/drawing/2014/main" id="{D8AA3510-00FD-AD6E-A26E-3EA76F84CDCF}"/>
            </a:ext>
          </a:extLst>
        </xdr:cNvPr>
        <xdr:cNvSpPr/>
      </xdr:nvSpPr>
      <xdr:spPr>
        <a:xfrm>
          <a:off x="3174153" y="45720"/>
          <a:ext cx="2255520" cy="9008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40C6FD-F60A-452F-9ACA-A4DFE489AD24}" type="TxLink">
            <a:rPr lang="en-US" sz="1800" b="0" i="0" u="none" strike="noStrike">
              <a:solidFill>
                <a:srgbClr val="000000"/>
              </a:solidFill>
              <a:latin typeface="Calibri"/>
              <a:ea typeface="Calibri"/>
              <a:cs typeface="Calibri"/>
            </a:rPr>
            <a:pPr algn="ctr"/>
            <a:t>6</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Total</a:t>
          </a:r>
          <a:r>
            <a:rPr lang="en-US" sz="1800" b="0" i="0" u="none" strike="noStrike" baseline="0">
              <a:solidFill>
                <a:srgbClr val="000000"/>
              </a:solidFill>
              <a:latin typeface="Calibri"/>
              <a:ea typeface="Calibri"/>
              <a:cs typeface="Calibri"/>
            </a:rPr>
            <a:t> Orders </a:t>
          </a:r>
          <a:endParaRPr lang="en-IN" sz="1800"/>
        </a:p>
      </xdr:txBody>
    </xdr:sp>
    <xdr:clientData/>
  </xdr:twoCellAnchor>
  <xdr:twoCellAnchor>
    <xdr:from>
      <xdr:col>10</xdr:col>
      <xdr:colOff>16934</xdr:colOff>
      <xdr:row>0</xdr:row>
      <xdr:rowOff>42333</xdr:rowOff>
    </xdr:from>
    <xdr:to>
      <xdr:col>13</xdr:col>
      <xdr:colOff>287867</xdr:colOff>
      <xdr:row>5</xdr:row>
      <xdr:rowOff>1</xdr:rowOff>
    </xdr:to>
    <xdr:sp macro="" textlink="Sheet1!D4">
      <xdr:nvSpPr>
        <xdr:cNvPr id="9" name="Rectangle: Rounded Corners 8">
          <a:extLst>
            <a:ext uri="{FF2B5EF4-FFF2-40B4-BE49-F238E27FC236}">
              <a16:creationId xmlns:a16="http://schemas.microsoft.com/office/drawing/2014/main" id="{8820DC6C-D22B-4D26-8E54-688C347E3E65}"/>
            </a:ext>
          </a:extLst>
        </xdr:cNvPr>
        <xdr:cNvSpPr/>
      </xdr:nvSpPr>
      <xdr:spPr>
        <a:xfrm>
          <a:off x="5494867" y="42333"/>
          <a:ext cx="2099733" cy="8890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F36705-2739-47AF-A7A2-C75CF3912EFE}" type="TxLink">
            <a:rPr lang="en-US" sz="1600" b="0" i="0" u="none" strike="noStrike">
              <a:solidFill>
                <a:srgbClr val="000000"/>
              </a:solidFill>
              <a:latin typeface="Calibri"/>
              <a:ea typeface="Calibri"/>
              <a:cs typeface="Calibri"/>
            </a:rPr>
            <a:pPr algn="ctr"/>
            <a:t>₹ 36,664.00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Revenue </a:t>
          </a:r>
          <a:endParaRPr lang="en-IN" sz="1600"/>
        </a:p>
      </xdr:txBody>
    </xdr:sp>
    <xdr:clientData/>
  </xdr:twoCellAnchor>
  <xdr:twoCellAnchor>
    <xdr:from>
      <xdr:col>13</xdr:col>
      <xdr:colOff>363220</xdr:colOff>
      <xdr:row>0</xdr:row>
      <xdr:rowOff>32173</xdr:rowOff>
    </xdr:from>
    <xdr:to>
      <xdr:col>18</xdr:col>
      <xdr:colOff>82126</xdr:colOff>
      <xdr:row>4</xdr:row>
      <xdr:rowOff>184573</xdr:rowOff>
    </xdr:to>
    <xdr:sp macro="" textlink="Sheet1!C4">
      <xdr:nvSpPr>
        <xdr:cNvPr id="10" name="Rectangle: Rounded Corners 9">
          <a:extLst>
            <a:ext uri="{FF2B5EF4-FFF2-40B4-BE49-F238E27FC236}">
              <a16:creationId xmlns:a16="http://schemas.microsoft.com/office/drawing/2014/main" id="{DF9703AC-F08F-4821-AEF8-61C33898CB3D}"/>
            </a:ext>
          </a:extLst>
        </xdr:cNvPr>
        <xdr:cNvSpPr/>
      </xdr:nvSpPr>
      <xdr:spPr>
        <a:xfrm>
          <a:off x="7669953" y="32173"/>
          <a:ext cx="2148840" cy="8974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AB1BC7E-9224-4B9B-BFBE-0A228D614DB0}" type="TxLink">
            <a:rPr lang="en-US" sz="1400" b="0" i="0" u="none" strike="noStrike">
              <a:solidFill>
                <a:srgbClr val="000000"/>
              </a:solidFill>
              <a:latin typeface="Calibri"/>
              <a:ea typeface="Calibri"/>
              <a:cs typeface="Calibri"/>
            </a:rPr>
            <a:pPr algn="ctr"/>
            <a:t>₹ 6,110.67</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Average</a:t>
          </a:r>
          <a:r>
            <a:rPr lang="en-US" sz="1400" b="0" i="0" u="none" strike="noStrike" baseline="0">
              <a:solidFill>
                <a:srgbClr val="000000"/>
              </a:solidFill>
              <a:latin typeface="Calibri"/>
              <a:ea typeface="Calibri"/>
              <a:cs typeface="Calibri"/>
            </a:rPr>
            <a:t> Customers Spent</a:t>
          </a:r>
          <a:endParaRPr lang="en-IN" sz="1400"/>
        </a:p>
      </xdr:txBody>
    </xdr:sp>
    <xdr:clientData/>
  </xdr:twoCellAnchor>
  <xdr:twoCellAnchor>
    <xdr:from>
      <xdr:col>18</xdr:col>
      <xdr:colOff>143933</xdr:colOff>
      <xdr:row>0</xdr:row>
      <xdr:rowOff>32174</xdr:rowOff>
    </xdr:from>
    <xdr:to>
      <xdr:col>21</xdr:col>
      <xdr:colOff>361527</xdr:colOff>
      <xdr:row>4</xdr:row>
      <xdr:rowOff>184574</xdr:rowOff>
    </xdr:to>
    <xdr:sp macro="" textlink="Sheet1!B4">
      <xdr:nvSpPr>
        <xdr:cNvPr id="11" name="Rectangle: Rounded Corners 10">
          <a:extLst>
            <a:ext uri="{FF2B5EF4-FFF2-40B4-BE49-F238E27FC236}">
              <a16:creationId xmlns:a16="http://schemas.microsoft.com/office/drawing/2014/main" id="{47D9B7B6-588E-4898-9B83-30FD509703BA}"/>
            </a:ext>
          </a:extLst>
        </xdr:cNvPr>
        <xdr:cNvSpPr/>
      </xdr:nvSpPr>
      <xdr:spPr>
        <a:xfrm>
          <a:off x="9880600" y="32174"/>
          <a:ext cx="2046394" cy="8974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961992-8172-45D7-BF15-B5497D6F3A13}" type="TxLink">
            <a:rPr lang="en-US" sz="1400" b="0" i="0" u="none" strike="noStrike">
              <a:solidFill>
                <a:srgbClr val="000000"/>
              </a:solidFill>
              <a:latin typeface="Calibri"/>
              <a:ea typeface="Calibri"/>
              <a:cs typeface="Calibri"/>
            </a:rPr>
            <a:pPr algn="ctr"/>
            <a:t>4.166666667</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Order-Delivery</a:t>
          </a:r>
          <a:r>
            <a:rPr lang="en-US" sz="1400" b="0" i="0" u="none" strike="noStrike" baseline="0">
              <a:solidFill>
                <a:srgbClr val="000000"/>
              </a:solidFill>
              <a:latin typeface="Calibri"/>
              <a:ea typeface="Calibri"/>
              <a:cs typeface="Calibri"/>
            </a:rPr>
            <a:t> Time </a:t>
          </a:r>
          <a:endParaRPr lang="en-IN" sz="1400"/>
        </a:p>
      </xdr:txBody>
    </xdr:sp>
    <xdr:clientData/>
  </xdr:twoCellAnchor>
  <xdr:twoCellAnchor editAs="oneCell">
    <xdr:from>
      <xdr:col>23</xdr:col>
      <xdr:colOff>48360</xdr:colOff>
      <xdr:row>18</xdr:row>
      <xdr:rowOff>76799</xdr:rowOff>
    </xdr:from>
    <xdr:to>
      <xdr:col>26</xdr:col>
      <xdr:colOff>193140</xdr:colOff>
      <xdr:row>35</xdr:row>
      <xdr:rowOff>8217</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F1FFEFA3-6CB8-419F-B80F-31DD040D2D2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126060" y="3368639"/>
              <a:ext cx="1973580" cy="3040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60960</xdr:colOff>
      <xdr:row>0</xdr:row>
      <xdr:rowOff>15240</xdr:rowOff>
    </xdr:from>
    <xdr:to>
      <xdr:col>26</xdr:col>
      <xdr:colOff>152400</xdr:colOff>
      <xdr:row>8</xdr:row>
      <xdr:rowOff>139451</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C8B7EDFB-0D54-1CEC-2744-FFFC8B5CE84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134427" y="15240"/>
              <a:ext cx="1920240" cy="18779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43379</xdr:colOff>
      <xdr:row>9</xdr:row>
      <xdr:rowOff>61856</xdr:rowOff>
    </xdr:from>
    <xdr:to>
      <xdr:col>26</xdr:col>
      <xdr:colOff>172919</xdr:colOff>
      <xdr:row>17</xdr:row>
      <xdr:rowOff>154691</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C1250671-B790-280B-D8F2-554656D1638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121079" y="1707776"/>
              <a:ext cx="1958340" cy="15558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67733</xdr:colOff>
      <xdr:row>0</xdr:row>
      <xdr:rowOff>33867</xdr:rowOff>
    </xdr:from>
    <xdr:to>
      <xdr:col>5</xdr:col>
      <xdr:colOff>84667</xdr:colOff>
      <xdr:row>5</xdr:row>
      <xdr:rowOff>152402</xdr:rowOff>
    </xdr:to>
    <xdr:sp macro="" textlink="Sheet1!A4">
      <xdr:nvSpPr>
        <xdr:cNvPr id="15" name="Rectangle: Rounded Corners 14">
          <a:extLst>
            <a:ext uri="{FF2B5EF4-FFF2-40B4-BE49-F238E27FC236}">
              <a16:creationId xmlns:a16="http://schemas.microsoft.com/office/drawing/2014/main" id="{EDF2AB0E-BF03-46C2-9D07-BA4BA8D2B1A9}"/>
            </a:ext>
          </a:extLst>
        </xdr:cNvPr>
        <xdr:cNvSpPr/>
      </xdr:nvSpPr>
      <xdr:spPr>
        <a:xfrm>
          <a:off x="67733" y="33867"/>
          <a:ext cx="3064934" cy="10498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2400">
              <a:solidFill>
                <a:schemeClr val="tx1"/>
              </a:solidFill>
            </a:rPr>
            <a:t>Sales Analysis</a:t>
          </a:r>
        </a:p>
        <a:p>
          <a:pPr algn="r"/>
          <a:endParaRPr lang="en-IN" sz="2400">
            <a:solidFill>
              <a:schemeClr val="tx1"/>
            </a:solidFill>
          </a:endParaRPr>
        </a:p>
      </xdr:txBody>
    </xdr:sp>
    <xdr:clientData/>
  </xdr:twoCellAnchor>
  <xdr:twoCellAnchor editAs="oneCell">
    <xdr:from>
      <xdr:col>0</xdr:col>
      <xdr:colOff>279401</xdr:colOff>
      <xdr:row>0</xdr:row>
      <xdr:rowOff>42335</xdr:rowOff>
    </xdr:from>
    <xdr:to>
      <xdr:col>1</xdr:col>
      <xdr:colOff>550334</xdr:colOff>
      <xdr:row>4</xdr:row>
      <xdr:rowOff>67735</xdr:rowOff>
    </xdr:to>
    <xdr:pic>
      <xdr:nvPicPr>
        <xdr:cNvPr id="17" name="Picture 16">
          <a:extLst>
            <a:ext uri="{FF2B5EF4-FFF2-40B4-BE49-F238E27FC236}">
              <a16:creationId xmlns:a16="http://schemas.microsoft.com/office/drawing/2014/main" id="{CEABA5FF-658B-83C3-0ADB-21852F10950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79401" y="42335"/>
          <a:ext cx="880533" cy="77046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nkapur" refreshedDate="46106.657901736115" backgroundQuery="1" createdVersion="8" refreshedVersion="8" minRefreshableVersion="3" recordCount="0" supportSubquery="1" supportAdvancedDrill="1" xr:uid="{EFF999CA-D982-4839-9ED2-859CA6685826}">
  <cacheSource type="external" connectionId="9"/>
  <cacheFields count="6">
    <cacheField name="[Measures].[Sum of Revenue]" caption="Sum of Revenue" numFmtId="0" hierarchy="4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33" level="1">
      <sharedItems count="3">
        <s v="Colors"/>
        <s v="Raksha Bandhan"/>
        <s v="Soft Toys"/>
      </sharedItems>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1].[Content]" caption="Content" attribute="1" defaultMemberUniqueName="[pro1].[Content].[All]" allUniqueName="[pro1].[Content].[All]" dimensionUniqueName="[pro1]" displayFolder="" count="2" memberValueDatatype="130" unbalanced="0"/>
    <cacheHierarchy uniqueName="[pro1].[Name]" caption="Name" attribute="1" defaultMemberUniqueName="[pro1].[Name].[All]" allUniqueName="[pro1].[Name].[All]" dimensionUniqueName="[pro1]" displayFolder="" count="2" memberValueDatatype="130" unbalanced="0"/>
    <cacheHierarchy uniqueName="[pro1].[Extension]" caption="Extension" attribute="1" defaultMemberUniqueName="[pro1].[Extension].[All]" allUniqueName="[pro1].[Extension].[All]" dimensionUniqueName="[pro1]" displayFolder="" count="2" memberValueDatatype="130" unbalanced="0"/>
    <cacheHierarchy uniqueName="[pro1].[Date accessed]" caption="Date accessed" attribute="1" time="1" defaultMemberUniqueName="[pro1].[Date accessed].[All]" allUniqueName="[pro1].[Date accessed].[All]" dimensionUniqueName="[pro1]" displayFolder="" count="2" memberValueDatatype="7" unbalanced="0"/>
    <cacheHierarchy uniqueName="[pro1].[Date modified]" caption="Date modified" attribute="1" time="1" defaultMemberUniqueName="[pro1].[Date modified].[All]" allUniqueName="[pro1].[Date modified].[All]" dimensionUniqueName="[pro1]" displayFolder="" count="2" memberValueDatatype="7" unbalanced="0"/>
    <cacheHierarchy uniqueName="[pro1].[Date created]" caption="Date created" attribute="1" time="1" defaultMemberUniqueName="[pro1].[Date created].[All]" allUniqueName="[pro1].[Date created].[All]" dimensionUniqueName="[pro1]" displayFolder="" count="2" memberValueDatatype="7" unbalanced="0"/>
    <cacheHierarchy uniqueName="[pro1].[Folder Path]" caption="Folder Path" attribute="1" defaultMemberUniqueName="[pro1].[Folder Path].[All]" allUniqueName="[pro1].[Folder Path].[All]" dimensionUniqueName="[pro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pro1]" caption="__XL_Count pro1" measure="1" displayFolder="" measureGroup="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1" uniqueName="[pro1]" caption="pro1"/>
    <dimension name="Products" uniqueName="[Products]" caption="Products"/>
  </dimensions>
  <measureGroups count="4">
    <measureGroup name="Customers" caption="Customers"/>
    <measureGroup name="Orders" caption="Orders"/>
    <measureGroup name="pro1" caption="pro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nkapur" refreshedDate="46106.657902314815" backgroundQuery="1" createdVersion="8" refreshedVersion="8" minRefreshableVersion="3" recordCount="0" supportSubquery="1" supportAdvancedDrill="1" xr:uid="{F1D0C98C-DFD0-432D-A954-52BEBD3311A6}">
  <cacheSource type="external" connectionId="9"/>
  <cacheFields count="5">
    <cacheField name="[Measures].[Sum of Revenue]" caption="Sum of Revenue" numFmtId="0" hierarchy="42" level="32767"/>
    <cacheField name="[Orders].[Month Name].[Month Name]" caption="Month Name" numFmtId="0" hierarchy="17" level="1">
      <sharedItems count="1">
        <s v="July"/>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1].[Content]" caption="Content" attribute="1" defaultMemberUniqueName="[pro1].[Content].[All]" allUniqueName="[pro1].[Content].[All]" dimensionUniqueName="[pro1]" displayFolder="" count="0" memberValueDatatype="130" unbalanced="0"/>
    <cacheHierarchy uniqueName="[pro1].[Name]" caption="Name" attribute="1" defaultMemberUniqueName="[pro1].[Name].[All]" allUniqueName="[pro1].[Name].[All]" dimensionUniqueName="[pro1]" displayFolder="" count="0" memberValueDatatype="130" unbalanced="0"/>
    <cacheHierarchy uniqueName="[pro1].[Extension]" caption="Extension" attribute="1" defaultMemberUniqueName="[pro1].[Extension].[All]" allUniqueName="[pro1].[Extension].[All]" dimensionUniqueName="[pro1]" displayFolder="" count="0" memberValueDatatype="130" unbalanced="0"/>
    <cacheHierarchy uniqueName="[pro1].[Date accessed]" caption="Date accessed" attribute="1" time="1" defaultMemberUniqueName="[pro1].[Date accessed].[All]" allUniqueName="[pro1].[Date accessed].[All]" dimensionUniqueName="[pro1]" displayFolder="" count="0" memberValueDatatype="7" unbalanced="0"/>
    <cacheHierarchy uniqueName="[pro1].[Date modified]" caption="Date modified" attribute="1" time="1" defaultMemberUniqueName="[pro1].[Date modified].[All]" allUniqueName="[pro1].[Date modified].[All]" dimensionUniqueName="[pro1]" displayFolder="" count="0" memberValueDatatype="7" unbalanced="0"/>
    <cacheHierarchy uniqueName="[pro1].[Date created]" caption="Date created" attribute="1" time="1" defaultMemberUniqueName="[pro1].[Date created].[All]" allUniqueName="[pro1].[Date created].[All]" dimensionUniqueName="[pro1]" displayFolder="" count="0" memberValueDatatype="7" unbalanced="0"/>
    <cacheHierarchy uniqueName="[pro1].[Folder Path]" caption="Folder Path" attribute="1" defaultMemberUniqueName="[pro1].[Folder Path].[All]" allUniqueName="[pro1].[Folder Path].[All]" dimensionUniqueName="[pro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1]" caption="__XL_Count pro1" measure="1" displayFolder="" measureGroup="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1" uniqueName="[pro1]" caption="pro1"/>
    <dimension name="Products" uniqueName="[Products]" caption="Products"/>
  </dimensions>
  <measureGroups count="4">
    <measureGroup name="Customers" caption="Customers"/>
    <measureGroup name="Orders" caption="Orders"/>
    <measureGroup name="pro1" caption="pro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nkapur" refreshedDate="46106.657902777777" backgroundQuery="1" createdVersion="8" refreshedVersion="8" minRefreshableVersion="3" recordCount="0" supportSubquery="1" supportAdvancedDrill="1" xr:uid="{6746B19B-F3B4-4B5B-B318-AB349FB064AC}">
  <cacheSource type="external" connectionId="9"/>
  <cacheFields count="7">
    <cacheField name="[Measures].[Sum of Revenue]" caption="Sum of Revenue" numFmtId="0" hierarchy="42" level="32767"/>
    <cacheField name="[Measures].[Average of diff_order_delivery]" caption="Average of diff_order_delivery" numFmtId="0" hierarchy="44" level="32767"/>
    <cacheField name="[Measures].[Average of Revenue]" caption="Average of Revenue" numFmtId="0" hierarchy="45" level="32767"/>
    <cacheField name="[Measures].[Count of Order_ID]" caption="Count of Order_ID" numFmtId="0" hierarchy="47"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6"/>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1].[Content]" caption="Content" attribute="1" defaultMemberUniqueName="[pro1].[Content].[All]" allUniqueName="[pro1].[Content].[All]" dimensionUniqueName="[pro1]" displayFolder="" count="0" memberValueDatatype="130" unbalanced="0"/>
    <cacheHierarchy uniqueName="[pro1].[Name]" caption="Name" attribute="1" defaultMemberUniqueName="[pro1].[Name].[All]" allUniqueName="[pro1].[Name].[All]" dimensionUniqueName="[pro1]" displayFolder="" count="0" memberValueDatatype="130" unbalanced="0"/>
    <cacheHierarchy uniqueName="[pro1].[Extension]" caption="Extension" attribute="1" defaultMemberUniqueName="[pro1].[Extension].[All]" allUniqueName="[pro1].[Extension].[All]" dimensionUniqueName="[pro1]" displayFolder="" count="0" memberValueDatatype="130" unbalanced="0"/>
    <cacheHierarchy uniqueName="[pro1].[Date accessed]" caption="Date accessed" attribute="1" time="1" defaultMemberUniqueName="[pro1].[Date accessed].[All]" allUniqueName="[pro1].[Date accessed].[All]" dimensionUniqueName="[pro1]" displayFolder="" count="0" memberValueDatatype="7" unbalanced="0"/>
    <cacheHierarchy uniqueName="[pro1].[Date modified]" caption="Date modified" attribute="1" time="1" defaultMemberUniqueName="[pro1].[Date modified].[All]" allUniqueName="[pro1].[Date modified].[All]" dimensionUniqueName="[pro1]" displayFolder="" count="0" memberValueDatatype="7" unbalanced="0"/>
    <cacheHierarchy uniqueName="[pro1].[Date created]" caption="Date created" attribute="1" time="1" defaultMemberUniqueName="[pro1].[Date created].[All]" allUniqueName="[pro1].[Date created].[All]" dimensionUniqueName="[pro1]" displayFolder="" count="0" memberValueDatatype="7" unbalanced="0"/>
    <cacheHierarchy uniqueName="[pro1].[Folder Path]" caption="Folder Path" attribute="1" defaultMemberUniqueName="[pro1].[Folder Path].[All]" allUniqueName="[pro1].[Folder Path].[All]" dimensionUniqueName="[pro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1]" caption="__XL_Count pro1" measure="1" displayFolder="" measureGroup="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1" uniqueName="[pro1]" caption="pro1"/>
    <dimension name="Products" uniqueName="[Products]" caption="Products"/>
  </dimensions>
  <measureGroups count="4">
    <measureGroup name="Customers" caption="Customers"/>
    <measureGroup name="Orders" caption="Orders"/>
    <measureGroup name="pro1" caption="pro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nkapur" refreshedDate="46106.657903356485" backgroundQuery="1" createdVersion="8" refreshedVersion="8" minRefreshableVersion="3" recordCount="0" supportSubquery="1" supportAdvancedDrill="1" xr:uid="{8651C1CF-7DA8-448E-9271-D0EABE28653A}">
  <cacheSource type="external" connectionId="9"/>
  <cacheFields count="6">
    <cacheField name="[Measures].[Sum of Revenue]" caption="Sum of Revenue" numFmtId="0" hierarchy="4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rror Gift"/>
        <s v="Exercitationem Pack"/>
        <s v="Fugit Set"/>
        <s v="Magnam Set"/>
        <s v="Nihil Box"/>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1].[Content]" caption="Content" attribute="1" defaultMemberUniqueName="[pro1].[Content].[All]" allUniqueName="[pro1].[Content].[All]" dimensionUniqueName="[pro1]" displayFolder="" count="2" memberValueDatatype="130" unbalanced="0"/>
    <cacheHierarchy uniqueName="[pro1].[Name]" caption="Name" attribute="1" defaultMemberUniqueName="[pro1].[Name].[All]" allUniqueName="[pro1].[Name].[All]" dimensionUniqueName="[pro1]" displayFolder="" count="2" memberValueDatatype="130" unbalanced="0"/>
    <cacheHierarchy uniqueName="[pro1].[Extension]" caption="Extension" attribute="1" defaultMemberUniqueName="[pro1].[Extension].[All]" allUniqueName="[pro1].[Extension].[All]" dimensionUniqueName="[pro1]" displayFolder="" count="2" memberValueDatatype="130" unbalanced="0"/>
    <cacheHierarchy uniqueName="[pro1].[Date accessed]" caption="Date accessed" attribute="1" time="1" defaultMemberUniqueName="[pro1].[Date accessed].[All]" allUniqueName="[pro1].[Date accessed].[All]" dimensionUniqueName="[pro1]" displayFolder="" count="2" memberValueDatatype="7" unbalanced="0"/>
    <cacheHierarchy uniqueName="[pro1].[Date modified]" caption="Date modified" attribute="1" time="1" defaultMemberUniqueName="[pro1].[Date modified].[All]" allUniqueName="[pro1].[Date modified].[All]" dimensionUniqueName="[pro1]" displayFolder="" count="2" memberValueDatatype="7" unbalanced="0"/>
    <cacheHierarchy uniqueName="[pro1].[Date created]" caption="Date created" attribute="1" time="1" defaultMemberUniqueName="[pro1].[Date created].[All]" allUniqueName="[pro1].[Date created].[All]" dimensionUniqueName="[pro1]" displayFolder="" count="2" memberValueDatatype="7" unbalanced="0"/>
    <cacheHierarchy uniqueName="[pro1].[Folder Path]" caption="Folder Path" attribute="1" defaultMemberUniqueName="[pro1].[Folder Path].[All]" allUniqueName="[pro1].[Folder Path].[All]" dimensionUniqueName="[pro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pro1]" caption="__XL_Count pro1" measure="1" displayFolder="" measureGroup="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1" uniqueName="[pro1]" caption="pro1"/>
    <dimension name="Products" uniqueName="[Products]" caption="Products"/>
  </dimensions>
  <measureGroups count="4">
    <measureGroup name="Customers" caption="Customers"/>
    <measureGroup name="Orders" caption="Orders"/>
    <measureGroup name="pro1" caption="pro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nkapur" refreshedDate="46106.657903935185" backgroundQuery="1" createdVersion="8" refreshedVersion="8" minRefreshableVersion="3" recordCount="0" supportSubquery="1" supportAdvancedDrill="1" xr:uid="{35B7229A-1775-4973-A433-07F3FE5B4691}">
  <cacheSource type="external" connectionId="9"/>
  <cacheFields count="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Customers].[City].[City]" caption="City" numFmtId="0" hierarchy="2" level="1">
      <sharedItems count="6">
        <s v="Aligarh"/>
        <s v="Bulandshahr"/>
        <s v="Delhi"/>
        <s v="Machilipatnam"/>
        <s v="Panchkula"/>
        <s v="Tumkur"/>
      </sharedItems>
    </cacheField>
    <cacheField name="[Measures].[Count of Order_ID]" caption="Count of Order_ID" numFmtId="0" hierarchy="47"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6"/>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1].[Content]" caption="Content" attribute="1" defaultMemberUniqueName="[pro1].[Content].[All]" allUniqueName="[pro1].[Content].[All]" dimensionUniqueName="[pro1]" displayFolder="" count="0" memberValueDatatype="130" unbalanced="0"/>
    <cacheHierarchy uniqueName="[pro1].[Name]" caption="Name" attribute="1" defaultMemberUniqueName="[pro1].[Name].[All]" allUniqueName="[pro1].[Name].[All]" dimensionUniqueName="[pro1]" displayFolder="" count="0" memberValueDatatype="130" unbalanced="0"/>
    <cacheHierarchy uniqueName="[pro1].[Extension]" caption="Extension" attribute="1" defaultMemberUniqueName="[pro1].[Extension].[All]" allUniqueName="[pro1].[Extension].[All]" dimensionUniqueName="[pro1]" displayFolder="" count="0" memberValueDatatype="130" unbalanced="0"/>
    <cacheHierarchy uniqueName="[pro1].[Date accessed]" caption="Date accessed" attribute="1" time="1" defaultMemberUniqueName="[pro1].[Date accessed].[All]" allUniqueName="[pro1].[Date accessed].[All]" dimensionUniqueName="[pro1]" displayFolder="" count="0" memberValueDatatype="7" unbalanced="0"/>
    <cacheHierarchy uniqueName="[pro1].[Date modified]" caption="Date modified" attribute="1" time="1" defaultMemberUniqueName="[pro1].[Date modified].[All]" allUniqueName="[pro1].[Date modified].[All]" dimensionUniqueName="[pro1]" displayFolder="" count="0" memberValueDatatype="7" unbalanced="0"/>
    <cacheHierarchy uniqueName="[pro1].[Date created]" caption="Date created" attribute="1" time="1" defaultMemberUniqueName="[pro1].[Date created].[All]" allUniqueName="[pro1].[Date created].[All]" dimensionUniqueName="[pro1]" displayFolder="" count="0" memberValueDatatype="7" unbalanced="0"/>
    <cacheHierarchy uniqueName="[pro1].[Folder Path]" caption="Folder Path" attribute="1" defaultMemberUniqueName="[pro1].[Folder Path].[All]" allUniqueName="[pro1].[Folder Path].[All]" dimensionUniqueName="[pro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1]" caption="__XL_Count pro1" measure="1" displayFolder="" measureGroup="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1" uniqueName="[pro1]" caption="pro1"/>
    <dimension name="Products" uniqueName="[Products]" caption="Products"/>
  </dimensions>
  <measureGroups count="4">
    <measureGroup name="Customers" caption="Customers"/>
    <measureGroup name="Orders" caption="Orders"/>
    <measureGroup name="pro1" caption="pro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nkapur" refreshedDate="46106.657904513886" backgroundQuery="1" createdVersion="8" refreshedVersion="8" minRefreshableVersion="3" recordCount="0" supportSubquery="1" supportAdvancedDrill="1" xr:uid="{AC31363D-6DA6-470B-9115-F28A1501E32E}">
  <cacheSource type="external" connectionId="9"/>
  <cacheFields count="6">
    <cacheField name="[Measures].[Sum of Revenue]" caption="Sum of Revenue" numFmtId="0" hierarchy="4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Products].[Occasion].[Occasion]" caption="Occasion" numFmtId="0" hierarchy="35" level="1">
      <sharedItems count="3">
        <s v="All Occasions"/>
        <s v="Anniversary"/>
        <s v="Birthday"/>
      </sharedItems>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1].[Content]" caption="Content" attribute="1" defaultMemberUniqueName="[pro1].[Content].[All]" allUniqueName="[pro1].[Content].[All]" dimensionUniqueName="[pro1]" displayFolder="" count="0" memberValueDatatype="130" unbalanced="0"/>
    <cacheHierarchy uniqueName="[pro1].[Name]" caption="Name" attribute="1" defaultMemberUniqueName="[pro1].[Name].[All]" allUniqueName="[pro1].[Name].[All]" dimensionUniqueName="[pro1]" displayFolder="" count="0" memberValueDatatype="130" unbalanced="0"/>
    <cacheHierarchy uniqueName="[pro1].[Extension]" caption="Extension" attribute="1" defaultMemberUniqueName="[pro1].[Extension].[All]" allUniqueName="[pro1].[Extension].[All]" dimensionUniqueName="[pro1]" displayFolder="" count="0" memberValueDatatype="130" unbalanced="0"/>
    <cacheHierarchy uniqueName="[pro1].[Date accessed]" caption="Date accessed" attribute="1" time="1" defaultMemberUniqueName="[pro1].[Date accessed].[All]" allUniqueName="[pro1].[Date accessed].[All]" dimensionUniqueName="[pro1]" displayFolder="" count="0" memberValueDatatype="7" unbalanced="0"/>
    <cacheHierarchy uniqueName="[pro1].[Date modified]" caption="Date modified" attribute="1" time="1" defaultMemberUniqueName="[pro1].[Date modified].[All]" allUniqueName="[pro1].[Date modified].[All]" dimensionUniqueName="[pro1]" displayFolder="" count="0" memberValueDatatype="7" unbalanced="0"/>
    <cacheHierarchy uniqueName="[pro1].[Date created]" caption="Date created" attribute="1" time="1" defaultMemberUniqueName="[pro1].[Date created].[All]" allUniqueName="[pro1].[Date created].[All]" dimensionUniqueName="[pro1]" displayFolder="" count="0" memberValueDatatype="7" unbalanced="0"/>
    <cacheHierarchy uniqueName="[pro1].[Folder Path]" caption="Folder Path" attribute="1" defaultMemberUniqueName="[pro1].[Folder Path].[All]" allUniqueName="[pro1].[Folder Path].[All]" dimensionUniqueName="[pro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pro1]" caption="__XL_Count pro1" measure="1" displayFolder="" measureGroup="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1" uniqueName="[pro1]" caption="pro1"/>
    <dimension name="Products" uniqueName="[Products]" caption="Products"/>
  </dimensions>
  <measureGroups count="4">
    <measureGroup name="Customers" caption="Customers"/>
    <measureGroup name="Orders" caption="Orders"/>
    <measureGroup name="pro1" caption="pro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nkapur" refreshedDate="46106.657905092594" backgroundQuery="1" createdVersion="8" refreshedVersion="8" minRefreshableVersion="3" recordCount="0" supportSubquery="1" supportAdvancedDrill="1" xr:uid="{1E0F45C8-CA7E-4A7B-8600-344CC4051DF3}">
  <cacheSource type="external" connectionId="9"/>
  <cacheFields count="7">
    <cacheField name="[Measures].[Sum of Revenue]" caption="Sum of Revenue" numFmtId="0" hierarchy="4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Hour (Order time)].[Hour (Order time)]" caption="Hour (Order time)" numFmtId="0" hierarchy="18" level="1">
      <sharedItems containsSemiMixedTypes="0" containsString="0" containsNumber="1" containsInteger="1" minValue="0" maxValue="22" count="6">
        <n v="0"/>
        <n v="12"/>
        <n v="13"/>
        <n v="16"/>
        <n v="20"/>
        <n v="22"/>
      </sharedItems>
      <extLst>
        <ext xmlns:x15="http://schemas.microsoft.com/office/spreadsheetml/2010/11/main" uri="{4F2E5C28-24EA-4eb8-9CBF-B6C8F9C3D259}">
          <x15:cachedUniqueNames>
            <x15:cachedUniqueName index="0" name="[Orders].[Hour (Order time)].&amp;[0]"/>
            <x15:cachedUniqueName index="1" name="[Orders].[Hour (Order time)].&amp;[12]"/>
            <x15:cachedUniqueName index="2" name="[Orders].[Hour (Order time)].&amp;[13]"/>
            <x15:cachedUniqueName index="3" name="[Orders].[Hour (Order time)].&amp;[16]"/>
            <x15:cachedUniqueName index="4" name="[Orders].[Hour (Order time)].&amp;[20]"/>
            <x15:cachedUniqueName index="5" name="[Orders].[Hour (Order time)].&amp;[22]"/>
          </x15:cachedUniqueNames>
        </ext>
      </extLst>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6"/>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1].[Content]" caption="Content" attribute="1" defaultMemberUniqueName="[pro1].[Content].[All]" allUniqueName="[pro1].[Content].[All]" dimensionUniqueName="[pro1]" displayFolder="" count="0" memberValueDatatype="130" unbalanced="0"/>
    <cacheHierarchy uniqueName="[pro1].[Name]" caption="Name" attribute="1" defaultMemberUniqueName="[pro1].[Name].[All]" allUniqueName="[pro1].[Name].[All]" dimensionUniqueName="[pro1]" displayFolder="" count="0" memberValueDatatype="130" unbalanced="0"/>
    <cacheHierarchy uniqueName="[pro1].[Extension]" caption="Extension" attribute="1" defaultMemberUniqueName="[pro1].[Extension].[All]" allUniqueName="[pro1].[Extension].[All]" dimensionUniqueName="[pro1]" displayFolder="" count="0" memberValueDatatype="130" unbalanced="0"/>
    <cacheHierarchy uniqueName="[pro1].[Date accessed]" caption="Date accessed" attribute="1" time="1" defaultMemberUniqueName="[pro1].[Date accessed].[All]" allUniqueName="[pro1].[Date accessed].[All]" dimensionUniqueName="[pro1]" displayFolder="" count="0" memberValueDatatype="7" unbalanced="0"/>
    <cacheHierarchy uniqueName="[pro1].[Date modified]" caption="Date modified" attribute="1" time="1" defaultMemberUniqueName="[pro1].[Date modified].[All]" allUniqueName="[pro1].[Date modified].[All]" dimensionUniqueName="[pro1]" displayFolder="" count="0" memberValueDatatype="7" unbalanced="0"/>
    <cacheHierarchy uniqueName="[pro1].[Date created]" caption="Date created" attribute="1" time="1" defaultMemberUniqueName="[pro1].[Date created].[All]" allUniqueName="[pro1].[Date created].[All]" dimensionUniqueName="[pro1]" displayFolder="" count="0" memberValueDatatype="7" unbalanced="0"/>
    <cacheHierarchy uniqueName="[pro1].[Folder Path]" caption="Folder Path" attribute="1" defaultMemberUniqueName="[pro1].[Folder Path].[All]" allUniqueName="[pro1].[Folder Path].[All]" dimensionUniqueName="[pro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pro1]" caption="__XL_Count pro1" measure="1" displayFolder="" measureGroup="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1" uniqueName="[pro1]" caption="pro1"/>
    <dimension name="Products" uniqueName="[Products]" caption="Products"/>
  </dimensions>
  <measureGroups count="4">
    <measureGroup name="Customers" caption="Customers"/>
    <measureGroup name="Orders" caption="Orders"/>
    <measureGroup name="pro1" caption="pro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nkapur" refreshedDate="46105.689156828703" backgroundQuery="1" createdVersion="3" refreshedVersion="8" minRefreshableVersion="3" recordCount="0" supportSubquery="1" supportAdvancedDrill="1" xr:uid="{F4A529A2-AF6E-4C02-866F-9E07CE88E4FD}">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1].[Content]" caption="Content" attribute="1" defaultMemberUniqueName="[pro1].[Content].[All]" allUniqueName="[pro1].[Content].[All]" dimensionUniqueName="[pro1]" displayFolder="" count="0" memberValueDatatype="130" unbalanced="0"/>
    <cacheHierarchy uniqueName="[pro1].[Name]" caption="Name" attribute="1" defaultMemberUniqueName="[pro1].[Name].[All]" allUniqueName="[pro1].[Name].[All]" dimensionUniqueName="[pro1]" displayFolder="" count="0" memberValueDatatype="130" unbalanced="0"/>
    <cacheHierarchy uniqueName="[pro1].[Extension]" caption="Extension" attribute="1" defaultMemberUniqueName="[pro1].[Extension].[All]" allUniqueName="[pro1].[Extension].[All]" dimensionUniqueName="[pro1]" displayFolder="" count="0" memberValueDatatype="130" unbalanced="0"/>
    <cacheHierarchy uniqueName="[pro1].[Date accessed]" caption="Date accessed" attribute="1" time="1" defaultMemberUniqueName="[pro1].[Date accessed].[All]" allUniqueName="[pro1].[Date accessed].[All]" dimensionUniqueName="[pro1]" displayFolder="" count="0" memberValueDatatype="7" unbalanced="0"/>
    <cacheHierarchy uniqueName="[pro1].[Date modified]" caption="Date modified" attribute="1" time="1" defaultMemberUniqueName="[pro1].[Date modified].[All]" allUniqueName="[pro1].[Date modified].[All]" dimensionUniqueName="[pro1]" displayFolder="" count="0" memberValueDatatype="7" unbalanced="0"/>
    <cacheHierarchy uniqueName="[pro1].[Date created]" caption="Date created" attribute="1" time="1" defaultMemberUniqueName="[pro1].[Date created].[All]" allUniqueName="[pro1].[Date created].[All]" dimensionUniqueName="[pro1]" displayFolder="" count="0" memberValueDatatype="7" unbalanced="0"/>
    <cacheHierarchy uniqueName="[pro1].[Folder Path]" caption="Folder Path" attribute="1" defaultMemberUniqueName="[pro1].[Folder Path].[All]" allUniqueName="[pro1].[Folder Path].[All]" dimensionUniqueName="[pro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1]" caption="__XL_Count pro1" measure="1" displayFolder="" measureGroup="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28731453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nkapur" refreshedDate="46106.610540624999" backgroundQuery="1" createdVersion="3" refreshedVersion="8" minRefreshableVersion="3" recordCount="0" supportSubquery="1" supportAdvancedDrill="1" xr:uid="{5F92424D-FD37-4DDA-91F0-04B9C3791C41}">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1].[Content]" caption="Content" attribute="1" defaultMemberUniqueName="[pro1].[Content].[All]" allUniqueName="[pro1].[Content].[All]" dimensionUniqueName="[pro1]" displayFolder="" count="0" memberValueDatatype="130" unbalanced="0"/>
    <cacheHierarchy uniqueName="[pro1].[Name]" caption="Name" attribute="1" defaultMemberUniqueName="[pro1].[Name].[All]" allUniqueName="[pro1].[Name].[All]" dimensionUniqueName="[pro1]" displayFolder="" count="0" memberValueDatatype="130" unbalanced="0"/>
    <cacheHierarchy uniqueName="[pro1].[Extension]" caption="Extension" attribute="1" defaultMemberUniqueName="[pro1].[Extension].[All]" allUniqueName="[pro1].[Extension].[All]" dimensionUniqueName="[pro1]" displayFolder="" count="0" memberValueDatatype="130" unbalanced="0"/>
    <cacheHierarchy uniqueName="[pro1].[Date accessed]" caption="Date accessed" attribute="1" time="1" defaultMemberUniqueName="[pro1].[Date accessed].[All]" allUniqueName="[pro1].[Date accessed].[All]" dimensionUniqueName="[pro1]" displayFolder="" count="0" memberValueDatatype="7" unbalanced="0"/>
    <cacheHierarchy uniqueName="[pro1].[Date modified]" caption="Date modified" attribute="1" time="1" defaultMemberUniqueName="[pro1].[Date modified].[All]" allUniqueName="[pro1].[Date modified].[All]" dimensionUniqueName="[pro1]" displayFolder="" count="0" memberValueDatatype="7" unbalanced="0"/>
    <cacheHierarchy uniqueName="[pro1].[Date created]" caption="Date created" attribute="1" time="1" defaultMemberUniqueName="[pro1].[Date created].[All]" allUniqueName="[pro1].[Date created].[All]" dimensionUniqueName="[pro1]" displayFolder="" count="0" memberValueDatatype="7" unbalanced="0"/>
    <cacheHierarchy uniqueName="[pro1].[Folder Path]" caption="Folder Path" attribute="1" defaultMemberUniqueName="[pro1].[Folder Path].[All]" allUniqueName="[pro1].[Folder Path].[All]" dimensionUniqueName="[pro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1]" caption="__XL_Count pro1" measure="1" displayFolder="" measureGroup="pro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210899933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CA025D-88C3-4389-B1AA-356137F90F92}" name="PivotTable3" cacheId="860" applyNumberFormats="0" applyBorderFormats="0" applyFontFormats="0" applyPatternFormats="0" applyAlignmentFormats="0" applyWidthHeightFormats="1" dataCaption="Values" tag="7e8b1121-0587-4c06-a5ca-8f8c7e13cd41" updatedVersion="8" minRefreshableVersion="5" useAutoFormatting="1" subtotalHiddenItems="1" itemPrintTitles="1" createdVersion="8" indent="0" outline="1" outlineData="1" multipleFieldFilters="0">
  <location ref="A3:D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3" subtotal="count" baseField="0" baseItem="2"/>
    <dataField name="Average of diff_order_delivery" fld="1" subtotal="average" baseField="0" baseItem="1"/>
    <dataField name="Average of Revenue2" fld="2" subtotal="average" baseField="0" baseItem="2"/>
    <dataField name="Sum of Revenue"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2"/>
    <pivotHierarchy dragToData="1"/>
    <pivotHierarchy dragToData="1" caption="Count of Order_ID"/>
  </pivotHierarchies>
  <pivotTableStyleInfo name="PivotStyleLight16" showRowHeaders="1" showColHeaders="1" showRowStripes="0" showColStripes="0" showLastColumn="1"/>
  <filters count="2">
    <filter fld="6" type="dateBetween" evalOrder="-1" id="17" name="[Orders].[Delivery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 fld="5" type="dateBetween" evalOrder="-1" id="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A22D45-165A-47DF-8AEB-86B7BD4ED10F}" name="PivotTable5" cacheId="854" applyNumberFormats="0" applyBorderFormats="0" applyFontFormats="0" applyPatternFormats="0" applyAlignmentFormats="0" applyWidthHeightFormats="1" dataCaption="Values" tag="33da1984-5383-438d-9fee-e3e2a31b7bcd" updatedVersion="8" minRefreshableVersion="5" useAutoFormatting="1" itemPrintTitles="1" createdVersion="8" indent="0" outline="1" outlineData="1" multipleFieldFilters="0" chartFormat="5">
  <location ref="D16:E20"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26" name="[Orders].[Delivery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 fld="3"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42">
      <autoFilter ref="A1">
        <filterColumn colId="0">
          <top10 val="9" filterVal="9"/>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8433DE-7191-4C5B-AAC9-B6121679DE8C}" name="PivotTable9" cacheId="872" applyNumberFormats="0" applyBorderFormats="0" applyFontFormats="0" applyPatternFormats="0" applyAlignmentFormats="0" applyWidthHeightFormats="1" dataCaption="Values" tag="00a82d62-01a3-4f35-9723-ff5b6ae6e058" updatedVersion="8" minRefreshableVersion="5" useAutoFormatting="1" itemPrintTitles="1" createdVersion="8" indent="0" outline="1" outlineData="1" multipleFieldFilters="0" chartFormat="17">
  <location ref="A35:B42"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sortType="ascending"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7">
    <i>
      <x/>
    </i>
    <i>
      <x v="1"/>
    </i>
    <i>
      <x v="2"/>
    </i>
    <i>
      <x v="3"/>
    </i>
    <i>
      <x v="4"/>
    </i>
    <i>
      <x v="5"/>
    </i>
    <i t="grand">
      <x/>
    </i>
  </rowItems>
  <colItems count="1">
    <i/>
  </colItems>
  <dataFields count="1">
    <dataField name="Sum of Revenue" fld="0" baseField="0" baseItem="0"/>
  </dataFields>
  <chartFormats count="6">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6" type="dateBetween" evalOrder="-1" id="19" name="[Orders].[Delivery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 fld="5" type="dateBetween" evalOrder="-1" id="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42">
      <autoFilter ref="A1">
        <filterColumn colId="0">
          <top10 val="9" filterVal="9"/>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EB6F22-4B9B-4119-B557-AA223AC59266}" name="PivotTable2" cacheId="857" applyNumberFormats="0" applyBorderFormats="0" applyFontFormats="0" applyPatternFormats="0" applyAlignmentFormats="0" applyWidthHeightFormats="1" dataCaption="Values" tag="aee1c8e9-2887-46f3-8bbe-b02c5134addc" updatedVersion="8" minRefreshableVersion="5" useAutoFormatting="1" itemPrintTitles="1" createdVersion="8" indent="0" outline="1" outlineData="1" multipleFieldFilters="0" chartFormat="8">
  <location ref="A6:B8" firstHeaderRow="1" firstDataRow="1" firstDataCol="1"/>
  <pivotFields count="5">
    <pivotField dataField="1" subtotalTop="0" showAll="0" defaultSubtotal="0"/>
    <pivotField axis="axisRow" allDrilled="1" subtotalTop="0" showAll="0" sortType="ascending"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7" name="[Orders].[Delivery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 fld="3" type="dateBetween" evalOrder="-1" id="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040561-9AEA-4658-B5F4-4A77C02D6346}" name="PivotTable6" cacheId="866" applyNumberFormats="0" applyBorderFormats="0" applyFontFormats="0" applyPatternFormats="0" applyAlignmentFormats="0" applyWidthHeightFormats="1" dataCaption="Values" tag="0a847337-6722-4835-ad5c-3db881cc2557" updatedVersion="8" minRefreshableVersion="5" useAutoFormatting="1" itemPrintTitles="1" createdVersion="8" indent="0" outline="1" outlineData="1" multipleFieldFilters="0" chartFormat="5">
  <location ref="A22:B29"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measureFilter="1"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Count of Order_ID" fld="3" subtotal="count" baseField="2"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4">
    <filter fld="6" type="dateBetween" evalOrder="-1" id="20" name="[Orders].[Delivery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 fld="5"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42">
      <autoFilter ref="A1">
        <filterColumn colId="0">
          <top10 val="9" filterVal="9"/>
        </filterColumn>
      </autoFilter>
    </filter>
    <filter fld="2" type="count" id="3"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173149-49DD-4AEA-ABF1-293C527ADA08}" name="PivotTable7" cacheId="869" applyNumberFormats="0" applyBorderFormats="0" applyFontFormats="0" applyPatternFormats="0" applyAlignmentFormats="0" applyWidthHeightFormats="1" dataCaption="Values" tag="1d00a9e3-d901-438a-8704-8fd40a22b147" updatedVersion="8" minRefreshableVersion="5" useAutoFormatting="1" itemPrintTitles="1" createdVersion="8" indent="0" outline="1" outlineData="1" multipleFieldFilters="0" chartFormat="11">
  <location ref="D27:E31"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Revenue" fld="0"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19" name="[Orders].[Delivery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 fld="4" type="dateBetween" evalOrder="-1" id="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42">
      <autoFilter ref="A1">
        <filterColumn colId="0">
          <top10 val="9" filterVal="9"/>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3D8C63-9D8D-4BCF-8778-6943990E6992}" name="PivotTable4" cacheId="863" applyNumberFormats="0" applyBorderFormats="0" applyFontFormats="0" applyPatternFormats="0" applyAlignmentFormats="0" applyWidthHeightFormats="1" dataCaption="Values" tag="9e0b1f26-c147-4531-93e8-6dd0516a4053" updatedVersion="8" minRefreshableVersion="5" useAutoFormatting="1" subtotalHiddenItems="1" itemPrintTitles="1" createdVersion="8" indent="0" outline="1" outlineData="1" multipleFieldFilters="0" chartFormat="5">
  <location ref="D7:E13"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19" name="[Orders].[Delivery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 fld="4" type="dateBetween" evalOrder="-1" id="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2"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6DD82CB-5E8E-4F9E-B19C-820F501194F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F784430-4F04-4089-94B5-22C6276D7F6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1EBC35E-581F-418B-AF71-AC1EF5A341B0}"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5B49EE6C-ECD6-4F85-8263-0C7B63DC8D1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DB8C3C2-237E-4BB9-B832-D8010B6BDEC6}" sourceName="[Orders].[Occasion]">
  <pivotTables>
    <pivotTable tabId="1" name="PivotTable4"/>
    <pivotTable tabId="1" name="PivotTable2"/>
    <pivotTable tabId="1" name="PivotTable3"/>
    <pivotTable tabId="1" name="PivotTable5"/>
    <pivotTable tabId="1" name="PivotTable6"/>
    <pivotTable tabId="1" name="PivotTable9"/>
  </pivotTables>
  <data>
    <olap pivotCacheId="28731453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A69666F-82F8-46CE-8487-455280A4CEF6}"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29D68A-1CB2-4CFA-80C1-B012AE273F1F}" name="_pro1" displayName="_pro1" ref="A1:F4" tableType="queryTable" totalsRowShown="0">
  <autoFilter ref="A1:F4" xr:uid="{3429D68A-1CB2-4CFA-80C1-B012AE273F1F}"/>
  <tableColumns count="6">
    <tableColumn id="1" xr3:uid="{3E5ED96C-35AA-401F-8D99-2BE7956B6BE0}" uniqueName="1" name="Name" queryTableFieldId="1" dataDxfId="23"/>
    <tableColumn id="2" xr3:uid="{14A5BA86-1DAC-4404-85F2-5F76C403B746}" uniqueName="2" name="Extension" queryTableFieldId="2" dataDxfId="22"/>
    <tableColumn id="3" xr3:uid="{9C572853-508C-49D3-A584-EBB3E713745F}" uniqueName="3" name="Date accessed" queryTableFieldId="3" dataDxfId="21"/>
    <tableColumn id="4" xr3:uid="{13E1159E-AD76-4ADA-8401-C74819AB4C11}" uniqueName="4" name="Date modified" queryTableFieldId="4" dataDxfId="20"/>
    <tableColumn id="5" xr3:uid="{3C01B5AD-7BC4-4262-BAE1-C23C77EC63EE}" uniqueName="5" name="Date created" queryTableFieldId="5" dataDxfId="19"/>
    <tableColumn id="6" xr3:uid="{F7C90558-9A87-45A5-B6AA-3F494220B069}"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87BE73-1CC7-42FA-8470-683CD3DA82A3}" name="Customers" displayName="Customers" ref="A1:G101" tableType="queryTable" totalsRowShown="0">
  <autoFilter ref="A1:G101" xr:uid="{CF87BE73-1CC7-42FA-8470-683CD3DA82A3}"/>
  <tableColumns count="7">
    <tableColumn id="1" xr3:uid="{50BFD7FD-624E-4C55-87A2-47068F0E19EF}" uniqueName="1" name="Customer_ID" queryTableFieldId="1" dataDxfId="17"/>
    <tableColumn id="2" xr3:uid="{29CEAA83-BE47-4630-8C3E-ACF83F06CB0B}" uniqueName="2" name="Name" queryTableFieldId="2" dataDxfId="16"/>
    <tableColumn id="3" xr3:uid="{714BACCA-3628-44A4-A0F5-8BBBA3A8987C}" uniqueName="3" name="City" queryTableFieldId="3" dataDxfId="15"/>
    <tableColumn id="4" xr3:uid="{9CE02BF3-80B1-4881-BCE3-EE441BCEF896}" uniqueName="4" name="Contact_Number" queryTableFieldId="4" dataDxfId="14"/>
    <tableColumn id="5" xr3:uid="{0896D2E4-3D58-415C-949B-0718A3262DB5}" uniqueName="5" name="Email" queryTableFieldId="5" dataDxfId="13"/>
    <tableColumn id="6" xr3:uid="{C81FCF36-435A-40AD-BDF1-9CEDBE945DB8}" uniqueName="6" name="Gender" queryTableFieldId="6" dataDxfId="12"/>
    <tableColumn id="7" xr3:uid="{0E09A50D-2744-4D8D-A166-6A9F2249B417}"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C3BCF5-7390-41C2-8BA3-E6B5B4202AB9}" name="Orders" displayName="Orders" ref="A1:Q1001" tableType="queryTable" totalsRowShown="0">
  <autoFilter ref="A1:Q1001" xr:uid="{8CC3BCF5-7390-41C2-8BA3-E6B5B4202AB9}"/>
  <tableColumns count="17">
    <tableColumn id="1" xr3:uid="{C2352CC8-717A-41D8-B578-171876C32A1C}" uniqueName="1" name="Order_ID" queryTableFieldId="1"/>
    <tableColumn id="2" xr3:uid="{5B97CB8C-D563-40BA-BBA6-02518B29E0E4}" uniqueName="2" name="Customer_ID" queryTableFieldId="2" dataDxfId="10"/>
    <tableColumn id="3" xr3:uid="{DC2AEFD7-B9D1-4047-AC7E-00BCAA4EEEC3}" uniqueName="3" name="Product_ID" queryTableFieldId="3"/>
    <tableColumn id="4" xr3:uid="{6116830C-99C2-4E86-BC59-AEC7286A939D}" uniqueName="4" name="Quantity" queryTableFieldId="4"/>
    <tableColumn id="5" xr3:uid="{B38B07C1-CDCB-4632-8735-384883DE874C}" uniqueName="5" name="Order_Date" queryTableFieldId="5" dataDxfId="9"/>
    <tableColumn id="6" xr3:uid="{D1DA82BA-0EDD-4D1A-A41E-9BA523136A7A}" uniqueName="6" name="Order_Time" queryTableFieldId="6" dataDxfId="8"/>
    <tableColumn id="7" xr3:uid="{9E725F79-F509-4D75-B349-72C53A0E5622}" uniqueName="7" name="Delivery_Date" queryTableFieldId="7" dataDxfId="7"/>
    <tableColumn id="8" xr3:uid="{F2EBC92F-7068-4243-B57B-28AED4DD0E56}" uniqueName="8" name="Delivery_Time" queryTableFieldId="8" dataDxfId="6"/>
    <tableColumn id="9" xr3:uid="{BDFBEBE2-EBA9-436A-A224-D28990873548}" uniqueName="9" name="Location" queryTableFieldId="9" dataDxfId="5"/>
    <tableColumn id="10" xr3:uid="{3CC87DDD-3BB0-41F6-8D2D-4DA3FEE66411}" uniqueName="10" name="Occasion" queryTableFieldId="10" dataDxfId="4"/>
    <tableColumn id="11" xr3:uid="{8E6D976F-58DB-4DCE-AF78-CF109127C09A}" uniqueName="11" name="Month Name" queryTableFieldId="11" dataDxfId="3"/>
    <tableColumn id="12" xr3:uid="{7B5C317D-C785-4B67-B4D7-F77F6ECF06C0}" uniqueName="12" name="Hour (Order time)" queryTableFieldId="12"/>
    <tableColumn id="13" xr3:uid="{D3134680-C7A0-45AB-B46F-394CA614F06A}" uniqueName="13" name="diff_order_delivery" queryTableFieldId="13"/>
    <tableColumn id="14" xr3:uid="{2352D1B4-1099-46C2-B202-3D05FE1C0D44}" uniqueName="14" name="Hour (Delivery Time)" queryTableFieldId="14"/>
    <tableColumn id="15" xr3:uid="{8E4B5F94-4FE2-4B4B-9F24-5A41E3305A12}" uniqueName="15" name="Price (INR)" queryTableFieldId="15"/>
    <tableColumn id="16" xr3:uid="{A4AE7A8F-B025-4CB6-AEB5-57483C9F71D5}" uniqueName="16" name="Revenue" queryTableFieldId="16"/>
    <tableColumn id="18" xr3:uid="{F42A6F72-1CD3-42E0-94D0-7529033F39EF}" uniqueName="18" name="Day Name(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C462E5-9AF3-42C4-AAA1-6B6F2B6EDD8D}" name="Products" displayName="Products" ref="A1:E71" tableType="queryTable" totalsRowShown="0">
  <autoFilter ref="A1:E71" xr:uid="{68C462E5-9AF3-42C4-AAA1-6B6F2B6EDD8D}"/>
  <tableColumns count="5">
    <tableColumn id="1" xr3:uid="{803C659B-0461-4F89-8F15-D2117CF6F4CE}" uniqueName="1" name="Product_ID" queryTableFieldId="1"/>
    <tableColumn id="2" xr3:uid="{6F282939-AFA3-43F9-8352-9F16E7E27947}" uniqueName="2" name="Product_Name" queryTableFieldId="2" dataDxfId="2"/>
    <tableColumn id="3" xr3:uid="{E5D5D286-C2D2-4719-9951-A3D2EA7D993E}" uniqueName="3" name="Category" queryTableFieldId="3" dataDxfId="1"/>
    <tableColumn id="4" xr3:uid="{04CF2F87-E1BA-4CDC-AE42-645D6E87CCD7}" uniqueName="4" name="Price (INR)" queryTableFieldId="4"/>
    <tableColumn id="5" xr3:uid="{3552E182-2E9D-4B81-884D-F88543CF8CF9}"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E745FDB-EB15-4BDC-A93E-07F8C96F5D38}" sourceName="[Orders].[Order_Date]">
  <pivotTables>
    <pivotTable tabId="1" name="PivotTable5"/>
    <pivotTable tabId="1" name="PivotTable2"/>
    <pivotTable tabId="1" name="PivotTable3"/>
    <pivotTable tabId="1" name="PivotTable4"/>
    <pivotTable tabId="1" name="PivotTable6"/>
    <pivotTable tabId="1" name="PivotTable7"/>
    <pivotTable tabId="1" name="PivotTable9"/>
  </pivotTables>
  <state minimalRefreshVersion="6" lastRefreshVersion="6" pivotCacheId="2108999337"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B6C2B16-2502-4D66-90AD-4C342D7F7E7E}" sourceName="[Orders].[Delivery_Date]">
  <pivotTables>
    <pivotTable tabId="1" name="PivotTable5"/>
    <pivotTable tabId="1" name="PivotTable2"/>
    <pivotTable tabId="1" name="PivotTable3"/>
    <pivotTable tabId="1" name="PivotTable4"/>
    <pivotTable tabId="1" name="PivotTable6"/>
    <pivotTable tabId="1" name="PivotTable7"/>
    <pivotTable tabId="1" name="PivotTable9"/>
  </pivotTables>
  <state minimalRefreshVersion="6" lastRefreshVersion="6" pivotCacheId="2108999337" filterType="dateBetween">
    <selection startDate="2023-07-01T00:00:00" endDate="2023-07-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E7603E6-98C9-4390-BEEE-AB2709D61B2A}" cache="Timeline_Order_Date" caption="Order_Date" level="2" selectionLevel="0" scrollPosition="2023-01-01T00:00:00"/>
  <timeline name="Delivery_Date" xr10:uid="{B6934C6C-DFEE-4F57-8E17-649EAFC6DC54}" cache="Timeline_Delivery_Date" caption="Delivery_Date" level="2" selectionLevel="2" scrollPosition="2023-05-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34B41-AE0D-4E56-B0E7-30E5C26A3D97}">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5.44140625" bestFit="1" customWidth="1"/>
  </cols>
  <sheetData>
    <row r="1" spans="1:6" x14ac:dyDescent="0.3">
      <c r="A1" t="s">
        <v>0</v>
      </c>
      <c r="B1" t="s">
        <v>1</v>
      </c>
      <c r="C1" t="s">
        <v>2</v>
      </c>
      <c r="D1" t="s">
        <v>3</v>
      </c>
      <c r="E1" t="s">
        <v>4</v>
      </c>
      <c r="F1" t="s">
        <v>5</v>
      </c>
    </row>
    <row r="2" spans="1:6" x14ac:dyDescent="0.3">
      <c r="A2" t="s">
        <v>6</v>
      </c>
      <c r="B2" t="s">
        <v>7</v>
      </c>
      <c r="C2" s="1">
        <v>46104.653347800922</v>
      </c>
      <c r="D2" s="1">
        <v>46100.465099382716</v>
      </c>
      <c r="E2" s="1">
        <v>46100.356788811725</v>
      </c>
      <c r="F2" t="s">
        <v>8</v>
      </c>
    </row>
    <row r="3" spans="1:6" x14ac:dyDescent="0.3">
      <c r="A3" t="s">
        <v>9</v>
      </c>
      <c r="B3" t="s">
        <v>7</v>
      </c>
      <c r="C3" s="1">
        <v>46104.654824344136</v>
      </c>
      <c r="D3" s="1">
        <v>46100.463118749998</v>
      </c>
      <c r="E3" s="1">
        <v>46100.356955401236</v>
      </c>
      <c r="F3" t="s">
        <v>8</v>
      </c>
    </row>
    <row r="4" spans="1:6" x14ac:dyDescent="0.3">
      <c r="A4" t="s">
        <v>10</v>
      </c>
      <c r="B4" t="s">
        <v>7</v>
      </c>
      <c r="C4" s="1">
        <v>46104.633289197533</v>
      </c>
      <c r="D4" s="1">
        <v>46100.458732793209</v>
      </c>
      <c r="E4" s="1">
        <v>46100.357079166664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6987-9D38-47FD-96F6-2DE0C28C653A}">
  <dimension ref="A1:G101"/>
  <sheetViews>
    <sheetView workbookViewId="0"/>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0FD4C-AFB7-4DEC-A503-11B69B394955}">
  <dimension ref="A1:Q1001"/>
  <sheetViews>
    <sheetView topLeftCell="I1" workbookViewId="0">
      <selection activeCell="N22" sqref="N2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21875" bestFit="1" customWidth="1"/>
    <col min="13" max="13" width="19.5546875" bestFit="1" customWidth="1"/>
    <col min="14" max="14" width="20.6640625" bestFit="1" customWidth="1"/>
    <col min="15" max="15" width="12.109375" bestFit="1" customWidth="1"/>
    <col min="16" max="16" width="10.5546875" bestFit="1" customWidth="1"/>
    <col min="17" max="17" width="22.4414062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9C02F-B439-4B6B-BC3E-95975F4BD031}">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F1C33-AA64-4870-B5C2-E496EB1076DD}">
  <dimension ref="A3:G42"/>
  <sheetViews>
    <sheetView topLeftCell="A20" workbookViewId="0">
      <selection activeCell="B35" sqref="B35"/>
    </sheetView>
  </sheetViews>
  <sheetFormatPr defaultRowHeight="14.4" x14ac:dyDescent="0.3"/>
  <cols>
    <col min="1" max="1" width="12.5546875" bestFit="1" customWidth="1"/>
    <col min="2" max="2" width="14.88671875" bestFit="1" customWidth="1"/>
    <col min="3" max="3" width="19.109375" bestFit="1" customWidth="1"/>
    <col min="4" max="4" width="12.5546875" bestFit="1" customWidth="1"/>
    <col min="5" max="5" width="14.88671875" bestFit="1" customWidth="1"/>
    <col min="6" max="6" width="19.109375" bestFit="1" customWidth="1"/>
    <col min="7" max="7" width="13.6640625" bestFit="1" customWidth="1"/>
    <col min="8" max="8" width="16.44140625" bestFit="1" customWidth="1"/>
  </cols>
  <sheetData>
    <row r="3" spans="1:7" x14ac:dyDescent="0.3">
      <c r="A3" t="s">
        <v>946</v>
      </c>
      <c r="B3" t="s">
        <v>944</v>
      </c>
      <c r="C3" t="s">
        <v>945</v>
      </c>
      <c r="D3" t="s">
        <v>943</v>
      </c>
    </row>
    <row r="4" spans="1:7" x14ac:dyDescent="0.3">
      <c r="A4" s="7">
        <v>6</v>
      </c>
      <c r="B4" s="7">
        <v>4.166666666666667</v>
      </c>
      <c r="C4" s="6">
        <v>6110.6666999999998</v>
      </c>
      <c r="D4" s="6">
        <v>36664</v>
      </c>
    </row>
    <row r="6" spans="1:7" x14ac:dyDescent="0.3">
      <c r="A6" s="4" t="s">
        <v>932</v>
      </c>
      <c r="B6" t="s">
        <v>943</v>
      </c>
    </row>
    <row r="7" spans="1:7" x14ac:dyDescent="0.3">
      <c r="A7" s="5" t="s">
        <v>839</v>
      </c>
      <c r="B7" s="6">
        <v>36664</v>
      </c>
      <c r="D7" s="4" t="s">
        <v>932</v>
      </c>
      <c r="E7" t="s">
        <v>943</v>
      </c>
    </row>
    <row r="8" spans="1:7" x14ac:dyDescent="0.3">
      <c r="A8" s="5" t="s">
        <v>933</v>
      </c>
      <c r="B8" s="6">
        <v>36664</v>
      </c>
      <c r="D8" s="5" t="s">
        <v>927</v>
      </c>
      <c r="E8" s="6">
        <v>9475</v>
      </c>
    </row>
    <row r="9" spans="1:7" x14ac:dyDescent="0.3">
      <c r="D9" s="5" t="s">
        <v>885</v>
      </c>
      <c r="E9" s="6">
        <v>3278</v>
      </c>
    </row>
    <row r="10" spans="1:7" x14ac:dyDescent="0.3">
      <c r="D10" s="5" t="s">
        <v>914</v>
      </c>
      <c r="E10" s="6">
        <v>1084</v>
      </c>
    </row>
    <row r="11" spans="1:7" x14ac:dyDescent="0.3">
      <c r="D11" s="5" t="s">
        <v>858</v>
      </c>
      <c r="E11" s="6">
        <v>17415</v>
      </c>
    </row>
    <row r="12" spans="1:7" x14ac:dyDescent="0.3">
      <c r="D12" s="5" t="s">
        <v>894</v>
      </c>
      <c r="E12" s="6">
        <v>5412</v>
      </c>
      <c r="G12">
        <f>CORREL(Orders[Quantity],Orders[diff_order_delivery])</f>
        <v>3.4781737193018245E-3</v>
      </c>
    </row>
    <row r="13" spans="1:7" x14ac:dyDescent="0.3">
      <c r="D13" s="5" t="s">
        <v>933</v>
      </c>
      <c r="E13" s="6">
        <v>36664</v>
      </c>
    </row>
    <row r="16" spans="1:7" x14ac:dyDescent="0.3">
      <c r="D16" s="4" t="s">
        <v>932</v>
      </c>
      <c r="E16" t="s">
        <v>943</v>
      </c>
    </row>
    <row r="17" spans="1:5" x14ac:dyDescent="0.3">
      <c r="D17" s="5" t="s">
        <v>863</v>
      </c>
      <c r="E17" s="6">
        <v>5412</v>
      </c>
    </row>
    <row r="18" spans="1:5" x14ac:dyDescent="0.3">
      <c r="D18" s="5" t="s">
        <v>794</v>
      </c>
      <c r="E18" s="6">
        <v>9475</v>
      </c>
    </row>
    <row r="19" spans="1:5" x14ac:dyDescent="0.3">
      <c r="D19" s="5" t="s">
        <v>859</v>
      </c>
      <c r="E19" s="6">
        <v>21777</v>
      </c>
    </row>
    <row r="20" spans="1:5" x14ac:dyDescent="0.3">
      <c r="D20" s="5" t="s">
        <v>933</v>
      </c>
      <c r="E20" s="6">
        <v>36664</v>
      </c>
    </row>
    <row r="22" spans="1:5" x14ac:dyDescent="0.3">
      <c r="A22" s="4" t="s">
        <v>932</v>
      </c>
      <c r="B22" t="s">
        <v>946</v>
      </c>
    </row>
    <row r="23" spans="1:5" x14ac:dyDescent="0.3">
      <c r="A23" s="5" t="s">
        <v>455</v>
      </c>
      <c r="B23" s="7">
        <v>1</v>
      </c>
    </row>
    <row r="24" spans="1:5" x14ac:dyDescent="0.3">
      <c r="A24" s="5" t="s">
        <v>26</v>
      </c>
      <c r="B24" s="7">
        <v>1</v>
      </c>
    </row>
    <row r="25" spans="1:5" x14ac:dyDescent="0.3">
      <c r="A25" s="5" t="s">
        <v>351</v>
      </c>
      <c r="B25" s="7">
        <v>1</v>
      </c>
    </row>
    <row r="26" spans="1:5" x14ac:dyDescent="0.3">
      <c r="A26" s="5" t="s">
        <v>134</v>
      </c>
      <c r="B26" s="7">
        <v>1</v>
      </c>
    </row>
    <row r="27" spans="1:5" x14ac:dyDescent="0.3">
      <c r="A27" s="5" t="s">
        <v>19</v>
      </c>
      <c r="B27" s="7">
        <v>1</v>
      </c>
      <c r="D27" s="4" t="s">
        <v>932</v>
      </c>
      <c r="E27" t="s">
        <v>943</v>
      </c>
    </row>
    <row r="28" spans="1:5" x14ac:dyDescent="0.3">
      <c r="A28" s="5" t="s">
        <v>560</v>
      </c>
      <c r="B28" s="7">
        <v>1</v>
      </c>
      <c r="D28" s="5" t="s">
        <v>699</v>
      </c>
      <c r="E28" s="6">
        <v>36664</v>
      </c>
    </row>
    <row r="29" spans="1:5" x14ac:dyDescent="0.3">
      <c r="A29" s="5" t="s">
        <v>933</v>
      </c>
      <c r="B29" s="7">
        <v>6</v>
      </c>
      <c r="D29" s="5" t="s">
        <v>698</v>
      </c>
      <c r="E29" s="6">
        <v>51084</v>
      </c>
    </row>
    <row r="30" spans="1:5" x14ac:dyDescent="0.3">
      <c r="D30" s="5" t="s">
        <v>707</v>
      </c>
      <c r="E30" s="6">
        <v>42240</v>
      </c>
    </row>
    <row r="31" spans="1:5" x14ac:dyDescent="0.3">
      <c r="D31" s="5" t="s">
        <v>933</v>
      </c>
      <c r="E31" s="6">
        <v>129988</v>
      </c>
    </row>
    <row r="35" spans="1:2" x14ac:dyDescent="0.3">
      <c r="A35" s="4" t="s">
        <v>932</v>
      </c>
      <c r="B35" t="s">
        <v>943</v>
      </c>
    </row>
    <row r="36" spans="1:2" x14ac:dyDescent="0.3">
      <c r="A36" s="5">
        <v>0</v>
      </c>
      <c r="B36" s="6">
        <v>9675</v>
      </c>
    </row>
    <row r="37" spans="1:2" x14ac:dyDescent="0.3">
      <c r="A37" s="5">
        <v>12</v>
      </c>
      <c r="B37" s="6">
        <v>5412</v>
      </c>
    </row>
    <row r="38" spans="1:2" x14ac:dyDescent="0.3">
      <c r="A38" s="5">
        <v>13</v>
      </c>
      <c r="B38" s="6">
        <v>9475</v>
      </c>
    </row>
    <row r="39" spans="1:2" x14ac:dyDescent="0.3">
      <c r="A39" s="5">
        <v>16</v>
      </c>
      <c r="B39" s="6">
        <v>7740</v>
      </c>
    </row>
    <row r="40" spans="1:2" x14ac:dyDescent="0.3">
      <c r="A40" s="5">
        <v>20</v>
      </c>
      <c r="B40" s="6">
        <v>3278</v>
      </c>
    </row>
    <row r="41" spans="1:2" x14ac:dyDescent="0.3">
      <c r="A41" s="5">
        <v>22</v>
      </c>
      <c r="B41" s="6">
        <v>1084</v>
      </c>
    </row>
    <row r="42" spans="1:2" x14ac:dyDescent="0.3">
      <c r="A42" s="5" t="s">
        <v>933</v>
      </c>
      <c r="B42" s="6">
        <v>36664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55DDE-EDA4-4E7F-ABFD-644A60DC9F67}">
  <dimension ref="G1:W1"/>
  <sheetViews>
    <sheetView tabSelected="1" workbookViewId="0">
      <selection activeCell="N6" sqref="N6"/>
    </sheetView>
  </sheetViews>
  <sheetFormatPr defaultRowHeight="14.4" x14ac:dyDescent="0.3"/>
  <cols>
    <col min="6" max="6" width="8.77734375" customWidth="1"/>
    <col min="7" max="7" width="8.88671875" hidden="1" customWidth="1"/>
    <col min="14" max="14" width="8.77734375" customWidth="1"/>
    <col min="15" max="15" width="8.88671875" hidden="1" customWidth="1"/>
    <col min="22" max="22" width="7.44140625" customWidth="1"/>
    <col min="23" max="23" width="8.88671875" hidden="1"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43BBD17-1F79-49A5-888A-307E2008AEA5}">
  <ds:schemaRefs/>
</ds:datastoreItem>
</file>

<file path=customXml/itemProps2.xml><?xml version="1.0" encoding="utf-8"?>
<ds:datastoreItem xmlns:ds="http://schemas.openxmlformats.org/officeDocument/2006/customXml" ds:itemID="{5B840A99-255C-4910-95A2-964A8794E73A}">
  <ds:schemaRefs>
    <ds:schemaRef ds:uri="http://schemas.microsoft.com/DataMashup"/>
  </ds:schemaRefs>
</ds:datastoreItem>
</file>

<file path=customXml/itemProps3.xml><?xml version="1.0" encoding="utf-8"?>
<ds:datastoreItem xmlns:ds="http://schemas.openxmlformats.org/officeDocument/2006/customXml" ds:itemID="{305AB568-EDB5-4891-ABFE-620D08138206}">
  <ds:schemaRefs/>
</ds:datastoreItem>
</file>

<file path=customXml/itemProps4.xml><?xml version="1.0" encoding="utf-8"?>
<ds:datastoreItem xmlns:ds="http://schemas.openxmlformats.org/officeDocument/2006/customXml" ds:itemID="{B7B0115B-A1A8-49A4-ABF6-493D47779CA0}">
  <ds:schemaRefs/>
</ds:datastoreItem>
</file>

<file path=customXml/itemProps5.xml><?xml version="1.0" encoding="utf-8"?>
<ds:datastoreItem xmlns:ds="http://schemas.openxmlformats.org/officeDocument/2006/customXml" ds:itemID="{2BDF521B-3F3E-4BE0-B3DE-B0F2E09CB621}">
  <ds:schemaRefs/>
</ds:datastoreItem>
</file>

<file path=customXml/itemProps6.xml><?xml version="1.0" encoding="utf-8"?>
<ds:datastoreItem xmlns:ds="http://schemas.openxmlformats.org/officeDocument/2006/customXml" ds:itemID="{4898AA10-7EAC-4862-B8F0-15C55AF456A1}">
  <ds:schemaRefs/>
</ds:datastoreItem>
</file>

<file path=customXml/itemProps7.xml><?xml version="1.0" encoding="utf-8"?>
<ds:datastoreItem xmlns:ds="http://schemas.openxmlformats.org/officeDocument/2006/customXml" ds:itemID="{F4324556-8E3F-465C-ABD5-55469248BA16}">
  <ds:schemaRefs/>
</ds:datastoreItem>
</file>

<file path=customXml/itemProps8.xml><?xml version="1.0" encoding="utf-8"?>
<ds:datastoreItem xmlns:ds="http://schemas.openxmlformats.org/officeDocument/2006/customXml" ds:itemID="{238A90AD-D551-4C67-AD1A-136DB1B8B9A3}">
  <ds:schemaRefs/>
</ds:datastoreItem>
</file>

<file path=customXml/itemProps9.xml><?xml version="1.0" encoding="utf-8"?>
<ds:datastoreItem xmlns:ds="http://schemas.openxmlformats.org/officeDocument/2006/customXml" ds:itemID="{401D03E0-CA0A-4FBA-90CE-F17ADF5A85E8}">
  <ds:schemaRefs/>
</ds:datastoreItem>
</file>

<file path=customXml/itemProps10.xml><?xml version="1.0" encoding="utf-8"?>
<ds:datastoreItem xmlns:ds="http://schemas.openxmlformats.org/officeDocument/2006/customXml" ds:itemID="{A8D92F94-C786-4D3C-9A1B-EB9D4FEC9C8B}">
  <ds:schemaRefs/>
</ds:datastoreItem>
</file>

<file path=customXml/itemProps11.xml><?xml version="1.0" encoding="utf-8"?>
<ds:datastoreItem xmlns:ds="http://schemas.openxmlformats.org/officeDocument/2006/customXml" ds:itemID="{9DDC0B5C-1520-45EA-9143-E1C9CB8A6067}">
  <ds:schemaRefs/>
</ds:datastoreItem>
</file>

<file path=customXml/itemProps12.xml><?xml version="1.0" encoding="utf-8"?>
<ds:datastoreItem xmlns:ds="http://schemas.openxmlformats.org/officeDocument/2006/customXml" ds:itemID="{898A18F0-7E4C-43DD-B0A9-3DA0FD609AF6}">
  <ds:schemaRefs/>
</ds:datastoreItem>
</file>

<file path=customXml/itemProps13.xml><?xml version="1.0" encoding="utf-8"?>
<ds:datastoreItem xmlns:ds="http://schemas.openxmlformats.org/officeDocument/2006/customXml" ds:itemID="{3DBB0DD7-7B93-4DB0-9D71-3B522FE0CA9A}">
  <ds:schemaRefs/>
</ds:datastoreItem>
</file>

<file path=customXml/itemProps14.xml><?xml version="1.0" encoding="utf-8"?>
<ds:datastoreItem xmlns:ds="http://schemas.openxmlformats.org/officeDocument/2006/customXml" ds:itemID="{0D79EEB8-56D2-4756-ADF8-E0AC89962FEB}">
  <ds:schemaRefs/>
</ds:datastoreItem>
</file>

<file path=customXml/itemProps15.xml><?xml version="1.0" encoding="utf-8"?>
<ds:datastoreItem xmlns:ds="http://schemas.openxmlformats.org/officeDocument/2006/customXml" ds:itemID="{F682CE40-B654-438A-8E17-DF630A681F55}">
  <ds:schemaRefs/>
</ds:datastoreItem>
</file>

<file path=customXml/itemProps16.xml><?xml version="1.0" encoding="utf-8"?>
<ds:datastoreItem xmlns:ds="http://schemas.openxmlformats.org/officeDocument/2006/customXml" ds:itemID="{08B4DB83-4146-47BB-94B0-91CE38357854}">
  <ds:schemaRefs/>
</ds:datastoreItem>
</file>

<file path=customXml/itemProps17.xml><?xml version="1.0" encoding="utf-8"?>
<ds:datastoreItem xmlns:ds="http://schemas.openxmlformats.org/officeDocument/2006/customXml" ds:itemID="{377E794A-5BF0-4E8D-8BED-AD4022350F7F}">
  <ds:schemaRefs/>
</ds:datastoreItem>
</file>

<file path=customXml/itemProps18.xml><?xml version="1.0" encoding="utf-8"?>
<ds:datastoreItem xmlns:ds="http://schemas.openxmlformats.org/officeDocument/2006/customXml" ds:itemID="{16DC41A3-1756-48B8-9736-7B9C55583ED5}">
  <ds:schemaRefs/>
</ds:datastoreItem>
</file>

<file path=customXml/itemProps19.xml><?xml version="1.0" encoding="utf-8"?>
<ds:datastoreItem xmlns:ds="http://schemas.openxmlformats.org/officeDocument/2006/customXml" ds:itemID="{D8308CCF-A3E5-44BB-AA95-819CD6823A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pro1</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bankapur</dc:creator>
  <cp:lastModifiedBy>vinay bankapur</cp:lastModifiedBy>
  <dcterms:created xsi:type="dcterms:W3CDTF">2026-03-23T07:47:00Z</dcterms:created>
  <dcterms:modified xsi:type="dcterms:W3CDTF">2026-03-25T11:22:43Z</dcterms:modified>
</cp:coreProperties>
</file>